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yryo1005/Desktop/"/>
    </mc:Choice>
  </mc:AlternateContent>
  <xr:revisionPtr revIDLastSave="0" documentId="13_ncr:1_{C59BDEFD-99C9-C84B-8535-5071053E4120}" xr6:coauthVersionLast="47" xr6:coauthVersionMax="47" xr10:uidLastSave="{00000000-0000-0000-0000-000000000000}"/>
  <bookViews>
    <workbookView xWindow="0" yWindow="780" windowWidth="36000" windowHeight="22600" xr2:uid="{00000000-000D-0000-FFFF-FFFF00000000}"/>
  </bookViews>
  <sheets>
    <sheet name="謝金等支払明細書&lt;記入シート&gt;" sheetId="4" r:id="rId1"/>
    <sheet name="謝金等支払明細書&lt;作成注意&gt;" sheetId="10" r:id="rId2"/>
    <sheet name="令和８年分源泉徴収税額 月額表" sheetId="9" r:id="rId3"/>
  </sheets>
  <definedNames>
    <definedName name="_xlnm.Print_Area" localSheetId="0">'謝金等支払明細書&lt;記入シート&gt;'!$A$1:$X$49</definedName>
    <definedName name="_xlnm.Print_Area" localSheetId="1">'謝金等支払明細書&lt;作成注意&gt;'!$A$1:$X$49</definedName>
    <definedName name="_xlnm.Print_Area" localSheetId="2">'令和８年分源泉徴収税額 月額表'!$B$1:$L$413</definedName>
    <definedName name="_xlnm.Print_Titles" localSheetId="2">'令和８年分源泉徴収税額 月額表'!$1:$7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9" i="10" l="1"/>
  <c r="W38" i="10"/>
  <c r="V35" i="10"/>
  <c r="I36" i="10" s="1"/>
  <c r="V36" i="10" s="1"/>
  <c r="V38" i="10" s="1"/>
  <c r="V40" i="10" s="1"/>
  <c r="V33" i="10"/>
  <c r="W32" i="10"/>
  <c r="V29" i="10"/>
  <c r="I30" i="10" s="1"/>
  <c r="V30" i="10" s="1"/>
  <c r="V32" i="10" s="1"/>
  <c r="V34" i="10" s="1"/>
  <c r="V27" i="10"/>
  <c r="W26" i="10"/>
  <c r="V23" i="10"/>
  <c r="V24" i="10" s="1"/>
  <c r="V21" i="10"/>
  <c r="W20" i="10"/>
  <c r="V17" i="10"/>
  <c r="W38" i="4"/>
  <c r="W32" i="4"/>
  <c r="W26" i="4"/>
  <c r="V39" i="4"/>
  <c r="V35" i="4"/>
  <c r="I36" i="4" s="1"/>
  <c r="V36" i="4" s="1"/>
  <c r="V33" i="4"/>
  <c r="V29" i="4"/>
  <c r="V27" i="4"/>
  <c r="V23" i="4"/>
  <c r="W20" i="4"/>
  <c r="I30" i="4" l="1"/>
  <c r="V30" i="4" s="1"/>
  <c r="V32" i="4" s="1"/>
  <c r="V34" i="4" s="1"/>
  <c r="I24" i="4"/>
  <c r="V24" i="4" s="1"/>
  <c r="V26" i="4" s="1"/>
  <c r="V28" i="4" s="1"/>
  <c r="V38" i="4"/>
  <c r="V40" i="4" s="1"/>
  <c r="V41" i="10"/>
  <c r="V44" i="10"/>
  <c r="V46" i="10" s="1"/>
  <c r="I18" i="10"/>
  <c r="V18" i="10" s="1"/>
  <c r="V42" i="10" s="1"/>
  <c r="S12" i="10" s="1"/>
  <c r="V26" i="10"/>
  <c r="V28" i="10" s="1"/>
  <c r="V21" i="4"/>
  <c r="V44" i="4" s="1"/>
  <c r="V17" i="4"/>
  <c r="E12" i="10" l="1"/>
  <c r="I18" i="4"/>
  <c r="V18" i="4" s="1"/>
  <c r="V42" i="4" s="1"/>
  <c r="V41" i="4"/>
  <c r="V20" i="10"/>
  <c r="V22" i="10" s="1"/>
  <c r="V45" i="10" s="1"/>
  <c r="N12" i="10" s="1"/>
  <c r="V43" i="10"/>
  <c r="V20" i="4" l="1"/>
  <c r="V22" i="4" s="1"/>
  <c r="V45" i="4" s="1"/>
  <c r="N12" i="4" s="1"/>
  <c r="V46" i="4"/>
  <c r="S12" i="4"/>
  <c r="E12" i="4"/>
  <c r="V4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KAKENHI-PC2-A</author>
  </authors>
  <commentList>
    <comment ref="M18" authorId="0" shapeId="0" xr:uid="{00000000-0006-0000-0000-000001000000}">
      <text>
        <r>
          <rPr>
            <sz val="9"/>
            <color rgb="FFFF0000"/>
            <rFont val="游明朝"/>
            <family val="1"/>
            <charset val="128"/>
          </rPr>
          <t>月額￥</t>
        </r>
        <r>
          <rPr>
            <sz val="9"/>
            <color rgb="FFFF0000"/>
            <rFont val="游明朝"/>
            <family val="1"/>
            <charset val="128"/>
          </rPr>
          <t>105,000</t>
        </r>
        <r>
          <rPr>
            <sz val="9"/>
            <color rgb="FFFF0000"/>
            <rFont val="游明朝"/>
            <family val="1"/>
            <charset val="128"/>
          </rPr>
          <t>を超えると定額になります。</t>
        </r>
        <r>
          <rPr>
            <sz val="9"/>
            <color rgb="FFFF0000"/>
            <rFont val="游明朝"/>
            <family val="1"/>
            <charset val="128"/>
          </rPr>
          <t xml:space="preserve">
</t>
        </r>
        <r>
          <rPr>
            <sz val="9"/>
            <color rgb="FFFF0000"/>
            <rFont val="游明朝"/>
            <family val="1"/>
            <charset val="128"/>
          </rPr>
          <t>(</t>
        </r>
        <r>
          <rPr>
            <sz val="9"/>
            <color rgb="FFFF0000"/>
            <rFont val="游明朝"/>
            <family val="1"/>
            <charset val="128"/>
          </rPr>
          <t>給与所得の源泉徴収税額</t>
        </r>
        <r>
          <rPr>
            <sz val="9"/>
            <color rgb="FFFF0000"/>
            <rFont val="游明朝"/>
            <family val="1"/>
            <charset val="128"/>
          </rPr>
          <t xml:space="preserve"> </t>
        </r>
        <r>
          <rPr>
            <sz val="9"/>
            <color rgb="FFFF0000"/>
            <rFont val="游明朝"/>
            <family val="1"/>
            <charset val="128"/>
          </rPr>
          <t>月額表</t>
        </r>
        <r>
          <rPr>
            <sz val="9"/>
            <color rgb="FFFF0000"/>
            <rFont val="游明朝"/>
            <family val="1"/>
            <charset val="128"/>
          </rPr>
          <t xml:space="preserve"> </t>
        </r>
        <r>
          <rPr>
            <sz val="9"/>
            <color rgb="FFFF0000"/>
            <rFont val="游明朝"/>
            <family val="1"/>
            <charset val="128"/>
          </rPr>
          <t>乙欄参照</t>
        </r>
        <r>
          <rPr>
            <sz val="9"/>
            <color rgb="FFFF0000"/>
            <rFont val="游明朝"/>
            <family val="1"/>
            <charset val="128"/>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KAKENHI-PC2-A</author>
  </authors>
  <commentList>
    <comment ref="M18" authorId="0" shapeId="0" xr:uid="{DD58F895-FAAD-4479-B2A2-34DB5C7D8FF6}">
      <text>
        <r>
          <rPr>
            <sz val="9"/>
            <color indexed="10"/>
            <rFont val="游明朝"/>
            <family val="1"/>
            <charset val="128"/>
          </rPr>
          <t>月額￥105,000を超えると定額になります。
(給与所得の源泉徴収税額 月額表 乙欄参照)</t>
        </r>
      </text>
    </comment>
  </commentList>
</comments>
</file>

<file path=xl/sharedStrings.xml><?xml version="1.0" encoding="utf-8"?>
<sst xmlns="http://schemas.openxmlformats.org/spreadsheetml/2006/main" count="460" uniqueCount="176">
  <si>
    <t>支出科目</t>
    <rPh sb="0" eb="2">
      <t>シシュツ</t>
    </rPh>
    <rPh sb="2" eb="4">
      <t>カモク</t>
    </rPh>
    <phoneticPr fontId="2"/>
  </si>
  <si>
    <t>学科長</t>
    <rPh sb="0" eb="2">
      <t>ガッカ</t>
    </rPh>
    <rPh sb="2" eb="3">
      <t>チョウ</t>
    </rPh>
    <phoneticPr fontId="2"/>
  </si>
  <si>
    <t>年</t>
    <rPh sb="0" eb="1">
      <t>ネン</t>
    </rPh>
    <phoneticPr fontId="2"/>
  </si>
  <si>
    <t>月</t>
    <rPh sb="0" eb="1">
      <t>ガツ</t>
    </rPh>
    <phoneticPr fontId="2"/>
  </si>
  <si>
    <t>日</t>
    <rPh sb="0" eb="1">
      <t>ニチ</t>
    </rPh>
    <phoneticPr fontId="2"/>
  </si>
  <si>
    <t>科学研究費</t>
    <rPh sb="0" eb="2">
      <t>カガク</t>
    </rPh>
    <rPh sb="2" eb="5">
      <t>ケンキュウヒ</t>
    </rPh>
    <phoneticPr fontId="2"/>
  </si>
  <si>
    <t>事務局長</t>
    <rPh sb="0" eb="2">
      <t>ジム</t>
    </rPh>
    <rPh sb="2" eb="3">
      <t>キョク</t>
    </rPh>
    <rPh sb="3" eb="4">
      <t>チョウ</t>
    </rPh>
    <phoneticPr fontId="2"/>
  </si>
  <si>
    <t>支　　払　　明　　細　　書</t>
    <rPh sb="0" eb="1">
      <t>ササ</t>
    </rPh>
    <rPh sb="3" eb="4">
      <t>バライ</t>
    </rPh>
    <rPh sb="6" eb="7">
      <t>メイ</t>
    </rPh>
    <rPh sb="9" eb="10">
      <t>ホソ</t>
    </rPh>
    <rPh sb="12" eb="13">
      <t>ショ</t>
    </rPh>
    <phoneticPr fontId="2"/>
  </si>
  <si>
    <t>研究者名</t>
    <rPh sb="0" eb="2">
      <t>ケンキュウ</t>
    </rPh>
    <rPh sb="2" eb="3">
      <t>シャ</t>
    </rPh>
    <rPh sb="3" eb="4">
      <t>メイ</t>
    </rPh>
    <phoneticPr fontId="2"/>
  </si>
  <si>
    <t>所 属 名</t>
    <rPh sb="0" eb="1">
      <t>トコロ</t>
    </rPh>
    <rPh sb="2" eb="3">
      <t>ゾク</t>
    </rPh>
    <rPh sb="4" eb="5">
      <t>メイ</t>
    </rPh>
    <phoneticPr fontId="2"/>
  </si>
  <si>
    <t>謝金</t>
    <rPh sb="0" eb="2">
      <t>シャキン</t>
    </rPh>
    <phoneticPr fontId="2"/>
  </si>
  <si>
    <t>支　　　　　払　　　　　内　　　　　訳　　　　　等</t>
    <rPh sb="0" eb="1">
      <t>ササ</t>
    </rPh>
    <rPh sb="6" eb="7">
      <t>バライ</t>
    </rPh>
    <rPh sb="12" eb="13">
      <t>ナイ</t>
    </rPh>
    <rPh sb="18" eb="19">
      <t>ヤク</t>
    </rPh>
    <rPh sb="24" eb="25">
      <t>トウ</t>
    </rPh>
    <phoneticPr fontId="2"/>
  </si>
  <si>
    <t>合計額</t>
    <rPh sb="0" eb="2">
      <t>ゴウケイ</t>
    </rPh>
    <rPh sb="2" eb="3">
      <t>ガク</t>
    </rPh>
    <phoneticPr fontId="2"/>
  </si>
  <si>
    <t>円</t>
    <rPh sb="0" eb="1">
      <t>エン</t>
    </rPh>
    <phoneticPr fontId="2"/>
  </si>
  <si>
    <t>様式　第５号</t>
    <rPh sb="0" eb="2">
      <t>ヨウシキ</t>
    </rPh>
    <rPh sb="3" eb="4">
      <t>ダイ</t>
    </rPh>
    <rPh sb="5" eb="6">
      <t>ゴウ</t>
    </rPh>
    <phoneticPr fontId="2"/>
  </si>
  <si>
    <t>課長</t>
    <rPh sb="0" eb="2">
      <t>カチョウ</t>
    </rPh>
    <phoneticPr fontId="2"/>
  </si>
  <si>
    <t>担当者</t>
    <rPh sb="0" eb="3">
      <t>タントウシャ</t>
    </rPh>
    <phoneticPr fontId="2"/>
  </si>
  <si>
    <t>係　長</t>
    <rPh sb="0" eb="1">
      <t>カカリ</t>
    </rPh>
    <rPh sb="2" eb="3">
      <t>チョウ</t>
    </rPh>
    <phoneticPr fontId="2"/>
  </si>
  <si>
    <t>円　</t>
    <rPh sb="0" eb="1">
      <t>エン</t>
    </rPh>
    <phoneticPr fontId="2"/>
  </si>
  <si>
    <t>×</t>
    <phoneticPr fontId="2"/>
  </si>
  <si>
    <t>時間</t>
    <rPh sb="0" eb="2">
      <t>ジカン</t>
    </rPh>
    <phoneticPr fontId="2"/>
  </si>
  <si>
    <t>所得税</t>
    <rPh sb="0" eb="3">
      <t>ショトクゼイ</t>
    </rPh>
    <phoneticPr fontId="2"/>
  </si>
  <si>
    <t>％</t>
    <phoneticPr fontId="2"/>
  </si>
  <si>
    <t>△</t>
    <phoneticPr fontId="2"/>
  </si>
  <si>
    <t>）</t>
    <phoneticPr fontId="2"/>
  </si>
  <si>
    <t>支払合計</t>
    <rPh sb="0" eb="2">
      <t>シハライ</t>
    </rPh>
    <rPh sb="2" eb="4">
      <t>ゴウケイ</t>
    </rPh>
    <phoneticPr fontId="2"/>
  </si>
  <si>
    <t>円、</t>
    <rPh sb="0" eb="1">
      <t>エン</t>
    </rPh>
    <phoneticPr fontId="2"/>
  </si>
  <si>
    <t>(</t>
    <phoneticPr fontId="2"/>
  </si>
  <si>
    <t>令和</t>
    <rPh sb="0" eb="2">
      <t>レイワ</t>
    </rPh>
    <phoneticPr fontId="2"/>
  </si>
  <si>
    <t>学部長</t>
    <rPh sb="0" eb="3">
      <t>ガクブチョウチョウ</t>
    </rPh>
    <phoneticPr fontId="2"/>
  </si>
  <si>
    <t>≪記入例≫</t>
    <rPh sb="1" eb="4">
      <t>キニュウレイ</t>
    </rPh>
    <phoneticPr fontId="2"/>
  </si>
  <si>
    <t>支出課題番号</t>
    <rPh sb="0" eb="2">
      <t>シシュツ</t>
    </rPh>
    <rPh sb="2" eb="4">
      <t>カダイ</t>
    </rPh>
    <rPh sb="4" eb="6">
      <t>バンゴウ</t>
    </rPh>
    <phoneticPr fontId="2"/>
  </si>
  <si>
    <t>交通費</t>
    <rPh sb="0" eb="3">
      <t>コウツウヒ</t>
    </rPh>
    <phoneticPr fontId="2"/>
  </si>
  <si>
    <t>日</t>
    <rPh sb="0" eb="1">
      <t>ヒ</t>
    </rPh>
    <phoneticPr fontId="2"/>
  </si>
  <si>
    <t>謝金支給額計</t>
    <rPh sb="0" eb="2">
      <t>シャキン</t>
    </rPh>
    <rPh sb="2" eb="5">
      <t>シキュウガク</t>
    </rPh>
    <rPh sb="5" eb="6">
      <t>ケイ</t>
    </rPh>
    <phoneticPr fontId="2"/>
  </si>
  <si>
    <t>月分</t>
    <rPh sb="0" eb="2">
      <t>ガツブン</t>
    </rPh>
    <phoneticPr fontId="2"/>
  </si>
  <si>
    <t>本人受領額</t>
    <rPh sb="0" eb="2">
      <t>ホンニン</t>
    </rPh>
    <rPh sb="2" eb="4">
      <t>ジュリョウ</t>
    </rPh>
    <rPh sb="4" eb="5">
      <t>ガク</t>
    </rPh>
    <phoneticPr fontId="2"/>
  </si>
  <si>
    <t>　　謝金支給額</t>
    <phoneticPr fontId="2"/>
  </si>
  <si>
    <t>　　本人受領額</t>
    <phoneticPr fontId="2"/>
  </si>
  <si>
    <t>本人受領額計</t>
    <rPh sb="0" eb="2">
      <t>ホンニン</t>
    </rPh>
    <rPh sb="2" eb="4">
      <t>ジュリョウ</t>
    </rPh>
    <rPh sb="4" eb="5">
      <t>ガク</t>
    </rPh>
    <rPh sb="5" eb="6">
      <t>ケイ</t>
    </rPh>
    <phoneticPr fontId="2"/>
  </si>
  <si>
    <t>交通費計</t>
    <rPh sb="0" eb="3">
      <t>コウツウヒ</t>
    </rPh>
    <rPh sb="3" eb="4">
      <t>ケイ</t>
    </rPh>
    <phoneticPr fontId="2"/>
  </si>
  <si>
    <t>単価</t>
    <rPh sb="0" eb="2">
      <t>タンカ</t>
    </rPh>
    <phoneticPr fontId="2"/>
  </si>
  <si>
    <t>※添付必要書類：出勤簿(様式第4号）・タイムカード(学内勤務時）</t>
  </si>
  <si>
    <t>NO.</t>
    <phoneticPr fontId="2"/>
  </si>
  <si>
    <t>所得税計</t>
    <rPh sb="0" eb="3">
      <t>ショトクゼイ</t>
    </rPh>
    <rPh sb="3" eb="4">
      <t>ケイ</t>
    </rPh>
    <phoneticPr fontId="2"/>
  </si>
  <si>
    <t>謝金計</t>
    <rPh sb="0" eb="2">
      <t>シャキン</t>
    </rPh>
    <rPh sb="2" eb="3">
      <t>ケイ</t>
    </rPh>
    <phoneticPr fontId="2"/>
  </si>
  <si>
    <t>科研費支出額計</t>
    <rPh sb="0" eb="3">
      <t>カケンヒ</t>
    </rPh>
    <rPh sb="3" eb="6">
      <t>シシュツガク</t>
    </rPh>
    <rPh sb="6" eb="7">
      <t>ケイ</t>
    </rPh>
    <phoneticPr fontId="2"/>
  </si>
  <si>
    <t xml:space="preserve">   その月の社会保</t>
  </si>
  <si>
    <t>甲</t>
  </si>
  <si>
    <t>　</t>
  </si>
  <si>
    <t xml:space="preserve">   険料等控除後の</t>
    <rPh sb="5" eb="6">
      <t>トウ</t>
    </rPh>
    <phoneticPr fontId="2"/>
  </si>
  <si>
    <t>扶        養        親        族        等        の        数</t>
  </si>
  <si>
    <t>乙</t>
  </si>
  <si>
    <t xml:space="preserve">   給与等の金額</t>
    <rPh sb="3" eb="5">
      <t>キュウヨ</t>
    </rPh>
    <phoneticPr fontId="2"/>
  </si>
  <si>
    <t>0  人</t>
  </si>
  <si>
    <t>1  人</t>
  </si>
  <si>
    <t>2  人</t>
  </si>
  <si>
    <t>3  人</t>
  </si>
  <si>
    <t>4  人</t>
  </si>
  <si>
    <t>5  人</t>
  </si>
  <si>
    <t>6  人</t>
  </si>
  <si>
    <t>7  人</t>
  </si>
  <si>
    <t>以  上</t>
  </si>
  <si>
    <t>未  満</t>
  </si>
  <si>
    <t>税                                            額</t>
  </si>
  <si>
    <t>税  額</t>
  </si>
  <si>
    <t>円</t>
  </si>
  <si>
    <t>円未満</t>
  </si>
  <si>
    <t>その月の社会保険料等控除後の給与等の金額の3.063％に相当する金額</t>
    <phoneticPr fontId="2"/>
  </si>
  <si>
    <t xml:space="preserve"> 740,000円を超え</t>
    <phoneticPr fontId="2"/>
  </si>
  <si>
    <t xml:space="preserve"> 740,000円の場合の税額に、その月の社会保険料等控除後の給与等の金額のうち</t>
    <phoneticPr fontId="2"/>
  </si>
  <si>
    <t xml:space="preserve"> 740,000円を超える金額の20.42％に相当する金額を加算した金額</t>
    <phoneticPr fontId="2"/>
  </si>
  <si>
    <t xml:space="preserve"> ない金額</t>
  </si>
  <si>
    <t xml:space="preserve"> </t>
  </si>
  <si>
    <t xml:space="preserve"> 2,170,000円に満た</t>
    <phoneticPr fontId="2"/>
  </si>
  <si>
    <t>2,170,000円</t>
    <rPh sb="9" eb="10">
      <t>エン</t>
    </rPh>
    <phoneticPr fontId="2"/>
  </si>
  <si>
    <t xml:space="preserve"> 2,170,000円を超え</t>
    <phoneticPr fontId="2"/>
  </si>
  <si>
    <t xml:space="preserve"> 2,170,000円の場合の税額に、その月の社会保険料等控除後の給与等の金額のうち</t>
    <phoneticPr fontId="2"/>
  </si>
  <si>
    <t xml:space="preserve"> 2,210,000円に満た</t>
    <phoneticPr fontId="2"/>
  </si>
  <si>
    <t xml:space="preserve"> 2,170,000円を超える金額の40.84％に相当する金額を加算した金額</t>
    <phoneticPr fontId="2"/>
  </si>
  <si>
    <t>2,210,000円</t>
    <phoneticPr fontId="2"/>
  </si>
  <si>
    <t xml:space="preserve"> 2,210,000円を超え</t>
    <phoneticPr fontId="2"/>
  </si>
  <si>
    <t xml:space="preserve"> 2,210,000円の場合の税額に、その月の社会保険料等控除後の給与等の金額のうち</t>
    <phoneticPr fontId="2"/>
  </si>
  <si>
    <t xml:space="preserve"> 2,250,000円に満た</t>
    <phoneticPr fontId="2"/>
  </si>
  <si>
    <t xml:space="preserve"> 2,210,000円を超える金額の40.84％に相当する金額を加算した金額</t>
    <phoneticPr fontId="2"/>
  </si>
  <si>
    <t>2,250,000円</t>
    <phoneticPr fontId="2"/>
  </si>
  <si>
    <t xml:space="preserve"> 2,250,000円を超え</t>
    <phoneticPr fontId="2"/>
  </si>
  <si>
    <t xml:space="preserve"> 2,250,000円の場合の税額に、その月の社会保険料等控除後の給与等の金額のうち</t>
    <phoneticPr fontId="2"/>
  </si>
  <si>
    <t xml:space="preserve"> 3,500,000円に満た</t>
    <phoneticPr fontId="2"/>
  </si>
  <si>
    <t xml:space="preserve"> 2,250,000円を超える金額の40.84％に相当する金額を加算した金額</t>
    <phoneticPr fontId="2"/>
  </si>
  <si>
    <t>3,500,000円</t>
    <phoneticPr fontId="2"/>
  </si>
  <si>
    <t xml:space="preserve"> 3,500,000円を超え</t>
    <phoneticPr fontId="2"/>
  </si>
  <si>
    <t xml:space="preserve"> 3,500,000円の場合の税額に、その月の社会保険料等控除後の給与等の金額のうち</t>
    <phoneticPr fontId="2"/>
  </si>
  <si>
    <t xml:space="preserve"> る金額</t>
    <rPh sb="2" eb="4">
      <t>キンガク</t>
    </rPh>
    <phoneticPr fontId="2"/>
  </si>
  <si>
    <t xml:space="preserve"> 3,500,000円を超える金額の45.945％に相当する金額を加算した金額</t>
    <phoneticPr fontId="2"/>
  </si>
  <si>
    <t>　扶養親族等の数が７人を超える場合には、扶養親族等の数が７人の場合の税額から、その７人を超える</t>
    <phoneticPr fontId="2"/>
  </si>
  <si>
    <t>　１人ごとに1,610円を控除した金額</t>
    <phoneticPr fontId="2"/>
  </si>
  <si>
    <t>(注)  この表における用語の意味は、次のとおりです。</t>
    <rPh sb="12" eb="14">
      <t>ヨウゴ</t>
    </rPh>
    <rPh sb="15" eb="17">
      <t>イミ</t>
    </rPh>
    <rPh sb="19" eb="20">
      <t>ツギ</t>
    </rPh>
    <phoneticPr fontId="2"/>
  </si>
  <si>
    <t>(備考）  税額の求め方は、次のとおりです。</t>
    <phoneticPr fontId="2"/>
  </si>
  <si>
    <t>備　考</t>
    <rPh sb="0" eb="1">
      <t>ビ</t>
    </rPh>
    <rPh sb="2" eb="3">
      <t>コウ</t>
    </rPh>
    <phoneticPr fontId="2"/>
  </si>
  <si>
    <t>科学研究費助成金</t>
    <rPh sb="0" eb="2">
      <t>カガク</t>
    </rPh>
    <rPh sb="2" eb="5">
      <t>ケンキュウヒ</t>
    </rPh>
    <rPh sb="5" eb="8">
      <t>ジョセイキン</t>
    </rPh>
    <phoneticPr fontId="2"/>
  </si>
  <si>
    <t>＊</t>
    <phoneticPr fontId="2"/>
  </si>
  <si>
    <t>※所得税定額の場合は、「税額×100%」で入力</t>
    <rPh sb="1" eb="4">
      <t>ショトクゼイ</t>
    </rPh>
    <rPh sb="4" eb="6">
      <t>テイガク</t>
    </rPh>
    <rPh sb="7" eb="9">
      <t>バアイ</t>
    </rPh>
    <rPh sb="12" eb="13">
      <t>ゼイ</t>
    </rPh>
    <rPh sb="13" eb="14">
      <t>ガク</t>
    </rPh>
    <rPh sb="21" eb="23">
      <t>ニュウリョク</t>
    </rPh>
    <phoneticPr fontId="2"/>
  </si>
  <si>
    <t>課題番号</t>
    <rPh sb="0" eb="4">
      <t>カダイバンゴウ</t>
    </rPh>
    <phoneticPr fontId="2"/>
  </si>
  <si>
    <t>研究者氏名</t>
    <rPh sb="0" eb="3">
      <t>ケンキュウシャ</t>
    </rPh>
    <rPh sb="3" eb="5">
      <t>シメイ</t>
    </rPh>
    <phoneticPr fontId="2"/>
  </si>
  <si>
    <t>　　親族等に限ります。）の数に応じ、扶養親族等１人ごとに1,610円を控除した金額）を求めます。これが求める税額です。</t>
    <phoneticPr fontId="2"/>
  </si>
  <si>
    <t>　　また、扶養親族等が国外居住親族である場合には、親族に該当する旨を証する書類がその申告書に添付され、又はその申告書の提出の際に提示された扶養</t>
    <phoneticPr fontId="2"/>
  </si>
  <si>
    <t>　　合には、その申告書により申告された扶養親族等（その申告書に記載がされていないものとされる源泉控除対象配偶者及び源泉控除対象親族を除きます。</t>
    <rPh sb="55" eb="56">
      <t>オヨ</t>
    </rPh>
    <phoneticPr fontId="2"/>
  </si>
  <si>
    <t>　　等控除後の給与等の金額」欄の該当する行と乙欄との交わるところに記載されている金額（「従たる給与についての扶養控除等申告書」の提出があった場</t>
    <phoneticPr fontId="2"/>
  </si>
  <si>
    <t>　　　その人のその月の給与等の金額から、その給与等の金額から控除される社会保険料等の金額を控除し、その控除後の金額に応じた「その月の社会保険料</t>
    <rPh sb="40" eb="41">
      <t>トウ</t>
    </rPh>
    <rPh sb="70" eb="71">
      <t>リョウ</t>
    </rPh>
    <phoneticPr fontId="2"/>
  </si>
  <si>
    <t>　２  扶養控除等申告書の提出がない人（「従たる給与についての扶養控除等申告書」の提出があった人を含みます。）</t>
    <phoneticPr fontId="2"/>
  </si>
  <si>
    <t>　　　親族等の数にこれらの一に該当するごとに１人を加算した数を、それぞれ(2)及び(3)の扶養親族等の数とします。</t>
    <rPh sb="23" eb="24">
      <t>ニン</t>
    </rPh>
    <rPh sb="25" eb="27">
      <t>カサン</t>
    </rPh>
    <phoneticPr fontId="2"/>
  </si>
  <si>
    <t>　　　申告書に添付され、又はその申告書の提出の際に提示された障害者又は同居特別障害者に限ります。）に該当する人がいる旨の記載があるときは、扶養</t>
    <rPh sb="30" eb="32">
      <t>ショウガイ</t>
    </rPh>
    <rPh sb="32" eb="33">
      <t>シャ</t>
    </rPh>
    <phoneticPr fontId="2"/>
  </si>
  <si>
    <t xml:space="preserve">      者又は扶養親族のうちに障害者又は同居特別障害者（障害者又は同居特別障害者が国外居住親族である場合には、親族に該当する旨を証する書類がその</t>
    <rPh sb="30" eb="33">
      <t>ショウガイシャ</t>
    </rPh>
    <rPh sb="33" eb="34">
      <t>マタ</t>
    </rPh>
    <rPh sb="35" eb="37">
      <t>ドウキョ</t>
    </rPh>
    <rPh sb="37" eb="39">
      <t>トクベツ</t>
    </rPh>
    <rPh sb="39" eb="42">
      <t>ショウガイシャ</t>
    </rPh>
    <rPh sb="43" eb="45">
      <t>コクガイ</t>
    </rPh>
    <rPh sb="45" eb="47">
      <t>キョジュウ</t>
    </rPh>
    <rPh sb="47" eb="49">
      <t>シンゾク</t>
    </rPh>
    <rPh sb="52" eb="54">
      <t>バアイ</t>
    </rPh>
    <rPh sb="57" eb="58">
      <t>オヤ</t>
    </rPh>
    <rPh sb="58" eb="59">
      <t>ゾク</t>
    </rPh>
    <phoneticPr fontId="2"/>
  </si>
  <si>
    <t xml:space="preserve">      学生に該当する旨の記載があるときは、扶養親族等の数にこれらの一に該当するごとに１人を加算した数を、扶養控除等申告書にその人の同一生計配偶</t>
    <rPh sb="68" eb="70">
      <t>ドウイツ</t>
    </rPh>
    <rPh sb="70" eb="72">
      <t>セイケイ</t>
    </rPh>
    <phoneticPr fontId="2"/>
  </si>
  <si>
    <t xml:space="preserve">    ⑷　⑵及び⑶の場合において、扶養控除等申告書にその人が障害者（特別障害者を含みます。以下この表において同じです。）、寡婦、ひとり親又は勤労</t>
    <rPh sb="46" eb="48">
      <t>イカ</t>
    </rPh>
    <rPh sb="50" eb="51">
      <t>ヒョウ</t>
    </rPh>
    <rPh sb="55" eb="56">
      <t>オナ</t>
    </rPh>
    <rPh sb="68" eb="69">
      <t>オヤ</t>
    </rPh>
    <rPh sb="71" eb="73">
      <t>キンロウ</t>
    </rPh>
    <phoneticPr fontId="2"/>
  </si>
  <si>
    <t xml:space="preserve">      て⑵により求めた税額から、扶養親族等の数が７人を超える１人ごとに1,610円を控除した金額を求めます。これが求める税額です。</t>
    <phoneticPr fontId="2"/>
  </si>
  <si>
    <t xml:space="preserve">    ⑶　扶養控除等申告書により申告された扶養親族等の数が７人を超える場合には、⑴により求めた金額に応じて、扶養親族等の数が７人であるものとして</t>
    <phoneticPr fontId="2"/>
  </si>
  <si>
    <t>　　　記載されている金額を求めます。これが求める税額です。</t>
    <phoneticPr fontId="2"/>
  </si>
  <si>
    <t xml:space="preserve">      額に応じて「その月の社会保険料等控除後の給与等の金額」欄の該当する行を求め、その行と扶養親族等の数に応じた甲欄の該当欄との交わるところに</t>
    <rPh sb="39" eb="40">
      <t>ギョウ</t>
    </rPh>
    <phoneticPr fontId="2"/>
  </si>
  <si>
    <t>　　　す。）がその申告書に添付され、又はその申告書の提出の際に提示された扶養親族等に限ります。）の数が７人以下である場合には、⑴により求めた金</t>
    <phoneticPr fontId="2"/>
  </si>
  <si>
    <t>　　　である場合には、親族に該当する旨を証する書類及び留学により国内に住所及び居所を有しなくなった人に該当する旨を証する書類。２において同じで</t>
    <rPh sb="68" eb="69">
      <t>オナ</t>
    </rPh>
    <phoneticPr fontId="2"/>
  </si>
  <si>
    <t>　　　類（その国外居住親族である扶養親族等が年齢30歳以上70歳未満の控除対象扶養親族であり、かつ、留学により国内に住所及び居所を有しなくなった人</t>
    <rPh sb="35" eb="37">
      <t>コウジョ</t>
    </rPh>
    <rPh sb="37" eb="39">
      <t>タイショウ</t>
    </rPh>
    <rPh sb="39" eb="41">
      <t>フヨウ</t>
    </rPh>
    <rPh sb="41" eb="43">
      <t>シンゾク</t>
    </rPh>
    <phoneticPr fontId="2"/>
  </si>
  <si>
    <t>　　　きます。また、扶養親族等が非居住者である親族（以下この表において「国外居住親族」といいます。）である場合には、親族に該当する旨を証する書</t>
    <rPh sb="16" eb="20">
      <t>ヒキョジュウシャ</t>
    </rPh>
    <rPh sb="23" eb="25">
      <t>シンゾク</t>
    </rPh>
    <rPh sb="26" eb="28">
      <t>イカ</t>
    </rPh>
    <rPh sb="30" eb="31">
      <t>ヒョウ</t>
    </rPh>
    <phoneticPr fontId="2"/>
  </si>
  <si>
    <t xml:space="preserve">    ⑵  次に、扶養控除等申告書により申告された扶養親族等（その申告書に記載がされていないものとされる源泉控除対象配偶者及び源泉控除対象親族を除</t>
    <rPh sb="57" eb="59">
      <t>タイショウ</t>
    </rPh>
    <rPh sb="59" eb="62">
      <t>ハイグウシャ</t>
    </rPh>
    <rPh sb="62" eb="63">
      <t>オヨ</t>
    </rPh>
    <rPh sb="73" eb="74">
      <t>ノゾ</t>
    </rPh>
    <phoneticPr fontId="2"/>
  </si>
  <si>
    <t>　　⑴  まず、その人のその月の給与等の金額から、その給与等の金額から控除される社会保険料等の金額を控除した金額を求めます。</t>
    <rPh sb="45" eb="46">
      <t>トウ</t>
    </rPh>
    <phoneticPr fontId="2"/>
  </si>
  <si>
    <t>　１　「給与所得者の扶養控除等申告書」（以下この表において「扶養控除等申告書」といいます。）の提出があった人</t>
    <phoneticPr fontId="2"/>
  </si>
  <si>
    <t>　２　「社会保険料等」とは、所得税法第74条第２項に規定する社会保険料及び同法第75条第２項に規定する小規模企業共済等掛金をいいます。</t>
    <rPh sb="4" eb="6">
      <t>シャカイ</t>
    </rPh>
    <rPh sb="6" eb="9">
      <t>ホケンリョウ</t>
    </rPh>
    <rPh sb="9" eb="10">
      <t>トウ</t>
    </rPh>
    <rPh sb="14" eb="16">
      <t>ショトク</t>
    </rPh>
    <rPh sb="16" eb="18">
      <t>ゼイホウ</t>
    </rPh>
    <rPh sb="18" eb="19">
      <t>ダイ</t>
    </rPh>
    <rPh sb="21" eb="22">
      <t>ジョウ</t>
    </rPh>
    <rPh sb="22" eb="23">
      <t>ダイ</t>
    </rPh>
    <rPh sb="24" eb="25">
      <t>コウ</t>
    </rPh>
    <rPh sb="26" eb="28">
      <t>キテイ</t>
    </rPh>
    <rPh sb="30" eb="32">
      <t>シャカイ</t>
    </rPh>
    <rPh sb="32" eb="35">
      <t>ホケンリョウ</t>
    </rPh>
    <rPh sb="35" eb="36">
      <t>オヨ</t>
    </rPh>
    <rPh sb="37" eb="39">
      <t>ドウホウ</t>
    </rPh>
    <rPh sb="39" eb="40">
      <t>ダイ</t>
    </rPh>
    <rPh sb="42" eb="43">
      <t>ジョウ</t>
    </rPh>
    <rPh sb="43" eb="44">
      <t>ダイ</t>
    </rPh>
    <rPh sb="45" eb="46">
      <t>コウ</t>
    </rPh>
    <rPh sb="47" eb="49">
      <t>キテイ</t>
    </rPh>
    <phoneticPr fontId="2"/>
  </si>
  <si>
    <t>　１　「扶養親族等」とは、源泉控除対象配偶者及び源泉控除対象親族をいいます。</t>
    <rPh sb="4" eb="6">
      <t>フヨウ</t>
    </rPh>
    <rPh sb="6" eb="8">
      <t>シンゾク</t>
    </rPh>
    <rPh sb="8" eb="9">
      <t>トウ</t>
    </rPh>
    <rPh sb="24" eb="26">
      <t>ゲンセン</t>
    </rPh>
    <phoneticPr fontId="2"/>
  </si>
  <si>
    <t>従たる給与についての扶養控除等申告書が提出されている場合には、当該申告書に記載された扶養親族等の数に応じ、扶養親族等１人ごとに1,610円を、上の各欄によって求めた税額から控除した金額</t>
    <rPh sb="73" eb="75">
      <t>カクラン</t>
    </rPh>
    <phoneticPr fontId="2"/>
  </si>
  <si>
    <t>655,400円に、その月の社会保険料等控除後の給与等の金額のうち1,710,000円を超える金額の45.945％に相当する金額を加算した金額</t>
    <phoneticPr fontId="2"/>
  </si>
  <si>
    <t xml:space="preserve"> 2,130,000円を超える金額の40.84％に相当する金額を加算した金額</t>
    <phoneticPr fontId="2"/>
  </si>
  <si>
    <t xml:space="preserve"> 2,130,000円の場合の税額に、その月の社会保険料等控除後の給与等の金額のうち</t>
    <phoneticPr fontId="2"/>
  </si>
  <si>
    <t xml:space="preserve"> 2,130,000円を超え</t>
    <phoneticPr fontId="2"/>
  </si>
  <si>
    <t>2,130,000円</t>
    <rPh sb="9" eb="10">
      <t>エン</t>
    </rPh>
    <phoneticPr fontId="2"/>
  </si>
  <si>
    <t xml:space="preserve"> 1,710,000円を超える金額の40.84％に相当する金額を加算した金額</t>
    <phoneticPr fontId="2"/>
  </si>
  <si>
    <t xml:space="preserve"> 2,130,000円に満た</t>
    <phoneticPr fontId="2"/>
  </si>
  <si>
    <t xml:space="preserve"> 1,710,000円の場合の税額に、その月の社会保険料等控除後の給与等の金額のうち</t>
    <phoneticPr fontId="2"/>
  </si>
  <si>
    <t xml:space="preserve"> 1,710,000円を超え</t>
    <phoneticPr fontId="2"/>
  </si>
  <si>
    <t>1,710,000円</t>
    <rPh sb="9" eb="10">
      <t>エン</t>
    </rPh>
    <phoneticPr fontId="2"/>
  </si>
  <si>
    <t xml:space="preserve"> 960,000円を超える金額の33.693％に相当する金額を加算した金額</t>
    <phoneticPr fontId="2"/>
  </si>
  <si>
    <t xml:space="preserve"> 1,710,000円に満た</t>
    <phoneticPr fontId="2"/>
  </si>
  <si>
    <t xml:space="preserve"> 960,000円の場合の税額に、その月の社会保険料等控除後の給与等の金額のうち</t>
    <phoneticPr fontId="2"/>
  </si>
  <si>
    <t xml:space="preserve"> 960,000円を超え</t>
    <phoneticPr fontId="2"/>
  </si>
  <si>
    <t>960,000円</t>
    <phoneticPr fontId="2"/>
  </si>
  <si>
    <t xml:space="preserve"> 790,000円を超える金額の23.483％に相当する金額を加算した金額</t>
    <phoneticPr fontId="2"/>
  </si>
  <si>
    <t xml:space="preserve"> 960,000円に満た</t>
    <phoneticPr fontId="2"/>
  </si>
  <si>
    <t xml:space="preserve"> 790,000円の場合の税額に、その月の社会保険料等控除後の給与等の金額のうち</t>
    <phoneticPr fontId="2"/>
  </si>
  <si>
    <t xml:space="preserve"> 790,000円を超え</t>
    <phoneticPr fontId="2"/>
  </si>
  <si>
    <t>790,000円</t>
    <phoneticPr fontId="2"/>
  </si>
  <si>
    <t>259,200円に、その月の社会保険料等控除後の給与等の金額のうち740,000円を超える金額の40.84％に相当する金額を加算した金額</t>
  </si>
  <si>
    <t xml:space="preserve"> 790,000円に満た</t>
    <phoneticPr fontId="2"/>
  </si>
  <si>
    <t>259,200円に、その月の社会保険料等控除後の給与等の金額のうち740,000円を超える金額の40.84％に相当する金額を加算した金額</t>
    <phoneticPr fontId="2"/>
  </si>
  <si>
    <t>740,000円</t>
    <rPh sb="7" eb="8">
      <t>エン</t>
    </rPh>
    <phoneticPr fontId="28"/>
  </si>
  <si>
    <r>
      <t>月　額　表</t>
    </r>
    <r>
      <rPr>
        <sz val="14"/>
        <rFont val="ＭＳ Ｐゴシック"/>
        <family val="3"/>
        <charset val="128"/>
      </rPr>
      <t>（平成24年３月31日財務省告示第115号別表第一（令和７年４月30日財務省告示第122号改正））</t>
    </r>
    <rPh sb="0" eb="1">
      <t>ツキ</t>
    </rPh>
    <rPh sb="2" eb="3">
      <t>ガク</t>
    </rPh>
    <rPh sb="4" eb="5">
      <t>ヒョウ</t>
    </rPh>
    <rPh sb="6" eb="8">
      <t>ヘイセイ</t>
    </rPh>
    <rPh sb="10" eb="11">
      <t>ネン</t>
    </rPh>
    <rPh sb="12" eb="13">
      <t>ガツ</t>
    </rPh>
    <rPh sb="15" eb="16">
      <t>ニチ</t>
    </rPh>
    <rPh sb="16" eb="19">
      <t>ザイムショウ</t>
    </rPh>
    <rPh sb="19" eb="21">
      <t>コクジ</t>
    </rPh>
    <rPh sb="21" eb="22">
      <t>ダイ</t>
    </rPh>
    <rPh sb="25" eb="26">
      <t>ゴウ</t>
    </rPh>
    <rPh sb="26" eb="28">
      <t>ベッピョウ</t>
    </rPh>
    <rPh sb="28" eb="30">
      <t>ダイイチ</t>
    </rPh>
    <rPh sb="31" eb="33">
      <t>レイワ</t>
    </rPh>
    <rPh sb="34" eb="35">
      <t>ネン</t>
    </rPh>
    <rPh sb="36" eb="37">
      <t>ガツ</t>
    </rPh>
    <rPh sb="39" eb="40">
      <t>ニチ</t>
    </rPh>
    <rPh sb="40" eb="43">
      <t>ザイムショウ</t>
    </rPh>
    <rPh sb="43" eb="45">
      <t>コクジ</t>
    </rPh>
    <rPh sb="45" eb="46">
      <t>ダイ</t>
    </rPh>
    <rPh sb="49" eb="50">
      <t>ゴウ</t>
    </rPh>
    <rPh sb="50" eb="52">
      <t>カイセイ</t>
    </rPh>
    <phoneticPr fontId="2"/>
  </si>
  <si>
    <r>
      <t>給与所得の源泉徴収税額表（</t>
    </r>
    <r>
      <rPr>
        <sz val="14"/>
        <color indexed="10"/>
        <rFont val="ＭＳ Ｐゴシック"/>
        <family val="3"/>
        <charset val="128"/>
      </rPr>
      <t>令和８年分</t>
    </r>
    <r>
      <rPr>
        <sz val="14"/>
        <rFont val="ＭＳ Ｐゴシック"/>
        <family val="3"/>
        <charset val="128"/>
      </rPr>
      <t>）</t>
    </r>
    <rPh sb="13" eb="15">
      <t>レイワ</t>
    </rPh>
    <rPh sb="17" eb="18">
      <t>ブン</t>
    </rPh>
    <phoneticPr fontId="2"/>
  </si>
  <si>
    <t>合計</t>
    <rPh sb="0" eb="2">
      <t>ゴウケイ</t>
    </rPh>
    <phoneticPr fontId="2"/>
  </si>
  <si>
    <t>所属または
学籍番号</t>
    <rPh sb="0" eb="2">
      <t>ショゾク</t>
    </rPh>
    <rPh sb="6" eb="8">
      <t>ガクセキ</t>
    </rPh>
    <rPh sb="8" eb="10">
      <t>バンゴウ</t>
    </rPh>
    <phoneticPr fontId="2"/>
  </si>
  <si>
    <t>氏名</t>
    <rPh sb="0" eb="2">
      <t>シメイ</t>
    </rPh>
    <phoneticPr fontId="2"/>
  </si>
  <si>
    <t>対象月</t>
    <rPh sb="0" eb="3">
      <t>タイショウツキ</t>
    </rPh>
    <phoneticPr fontId="2"/>
  </si>
  <si>
    <r>
      <t>所属</t>
    </r>
    <r>
      <rPr>
        <sz val="9"/>
        <rFont val="ＭＳ Ｐ明朝"/>
        <family val="1"/>
        <charset val="128"/>
      </rPr>
      <t>等</t>
    </r>
    <r>
      <rPr>
        <sz val="11"/>
        <rFont val="ＭＳ Ｐ明朝"/>
        <family val="1"/>
        <charset val="128"/>
      </rPr>
      <t>・氏名・対象月</t>
    </r>
    <rPh sb="2" eb="3">
      <t>ナド</t>
    </rPh>
    <rPh sb="4" eb="5">
      <t>シ</t>
    </rPh>
    <rPh sb="5" eb="6">
      <t>メイ</t>
    </rPh>
    <rPh sb="7" eb="10">
      <t>タイショウツキ</t>
    </rPh>
    <phoneticPr fontId="2"/>
  </si>
  <si>
    <t>支払明細（単価（時給）×時間）</t>
    <rPh sb="0" eb="2">
      <t>シハライ</t>
    </rPh>
    <rPh sb="2" eb="4">
      <t>メイサイ</t>
    </rPh>
    <rPh sb="5" eb="7">
      <t>タンカ</t>
    </rPh>
    <rPh sb="8" eb="10">
      <t>ジキュウ</t>
    </rPh>
    <rPh sb="12" eb="14">
      <t>ジカン</t>
    </rPh>
    <phoneticPr fontId="2"/>
  </si>
  <si>
    <t>○○学部○○学科</t>
    <rPh sb="2" eb="4">
      <t>ガクブ</t>
    </rPh>
    <rPh sb="6" eb="8">
      <t>ガッカ</t>
    </rPh>
    <phoneticPr fontId="2"/>
  </si>
  <si>
    <t>２２Ａ＊＊＊＊</t>
    <phoneticPr fontId="2"/>
  </si>
  <si>
    <t>25T＊＊＊＊</t>
    <phoneticPr fontId="2"/>
  </si>
  <si>
    <t>被雇用者氏名</t>
    <rPh sb="0" eb="4">
      <t>ヒコヨウシャ</t>
    </rPh>
    <rPh sb="4" eb="6">
      <t>シメイ</t>
    </rPh>
    <phoneticPr fontId="2"/>
  </si>
  <si>
    <t>△△△大学</t>
    <rPh sb="3" eb="5">
      <t>ダイガク</t>
    </rPh>
    <phoneticPr fontId="2"/>
  </si>
  <si>
    <t>　　交通費支給日：9/*、*、**</t>
    <rPh sb="2" eb="5">
      <t>コウツウヒ</t>
    </rPh>
    <rPh sb="5" eb="8">
      <t>シキュウビ</t>
    </rPh>
    <phoneticPr fontId="2"/>
  </si>
  <si>
    <t>*</t>
    <phoneticPr fontId="2"/>
  </si>
  <si>
    <t>情報学部 情報学科</t>
    <rPh sb="0" eb="4">
      <t xml:space="preserve">ジョウホウガクブ </t>
    </rPh>
    <rPh sb="5" eb="7">
      <t xml:space="preserve">ジョウホウ </t>
    </rPh>
    <rPh sb="7" eb="9">
      <t xml:space="preserve">ガッカ </t>
    </rPh>
    <phoneticPr fontId="2"/>
  </si>
  <si>
    <t>二宮 洋</t>
    <rPh sb="0" eb="2">
      <t xml:space="preserve">ニノミヤ </t>
    </rPh>
    <rPh sb="3" eb="4">
      <t xml:space="preserve">ヒロシ </t>
    </rPh>
    <phoneticPr fontId="2"/>
  </si>
  <si>
    <t>23K11267</t>
    <phoneticPr fontId="2"/>
  </si>
  <si>
    <t>工学研究科電気情報工学専攻</t>
    <rPh sb="0" eb="5">
      <t xml:space="preserve">コウガクケンキュウカ </t>
    </rPh>
    <rPh sb="5" eb="11">
      <t xml:space="preserve">デンキジョウホウコウガク </t>
    </rPh>
    <rPh sb="11" eb="13">
      <t xml:space="preserve">センコウ </t>
    </rPh>
    <phoneticPr fontId="2"/>
  </si>
  <si>
    <t>山富 龍</t>
    <rPh sb="0" eb="2">
      <t xml:space="preserve">ヤマトミ </t>
    </rPh>
    <rPh sb="3" eb="4">
      <t xml:space="preserve">リュウ </t>
    </rPh>
    <phoneticPr fontId="2"/>
  </si>
  <si>
    <t>情報学部情報学科</t>
    <rPh sb="0" eb="4">
      <t xml:space="preserve">ジョウホウガクブ </t>
    </rPh>
    <rPh sb="4" eb="8">
      <t xml:space="preserve">ジョウホウガッカ </t>
    </rPh>
    <phoneticPr fontId="2"/>
  </si>
  <si>
    <t>浅井 傑</t>
    <rPh sb="0" eb="2">
      <t xml:space="preserve">アサイ </t>
    </rPh>
    <rPh sb="3" eb="4">
      <t xml:space="preserve">ケッサク </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</si>
</sst>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 &quot;0"/>
    <numFmt numFmtId="177" formatCode="0.00_);[Red]\(0.00\)"/>
  </numFmts>
  <fonts count="33">
    <font>
      <sz val="11"/>
      <name val="ＭＳ Ｐゴシック"/>
      <family val="3"/>
      <charset val="128"/>
    </font>
    <font>
      <sz val="11"/>
      <name val="ＭＳ Ｐゴシック"/>
      <family val="3"/>
      <charset val="128"/>
    </font>
    <font>
      <sz val="6"/>
      <name val="ＭＳ Ｐゴシック"/>
      <family val="3"/>
      <charset val="128"/>
    </font>
    <font>
      <sz val="11"/>
      <name val="ＭＳ Ｐ明朝"/>
      <family val="1"/>
      <charset val="128"/>
    </font>
    <font>
      <sz val="12"/>
      <name val="ＭＳ Ｐ明朝"/>
      <family val="1"/>
      <charset val="128"/>
    </font>
    <font>
      <u val="double"/>
      <sz val="20"/>
      <name val="ＭＳ Ｐ明朝"/>
      <family val="1"/>
      <charset val="128"/>
    </font>
    <font>
      <sz val="10"/>
      <name val="ＭＳ Ｐ明朝"/>
      <family val="1"/>
      <charset val="128"/>
    </font>
    <font>
      <sz val="14"/>
      <color indexed="10"/>
      <name val="ＭＳ Ｐ明朝"/>
      <family val="1"/>
      <charset val="128"/>
    </font>
    <font>
      <sz val="9"/>
      <name val="ＭＳ Ｐ明朝"/>
      <family val="1"/>
      <charset val="128"/>
    </font>
    <font>
      <b/>
      <sz val="11"/>
      <name val="ＭＳ Ｐ明朝"/>
      <family val="1"/>
      <charset val="128"/>
    </font>
    <font>
      <b/>
      <sz val="16"/>
      <name val="ＭＳ Ｐ明朝"/>
      <family val="1"/>
      <charset val="128"/>
    </font>
    <font>
      <sz val="9"/>
      <color indexed="10"/>
      <name val="游明朝"/>
      <family val="1"/>
      <charset val="128"/>
    </font>
    <font>
      <sz val="8"/>
      <name val="ＭＳ Ｐ明朝"/>
      <family val="1"/>
      <charset val="128"/>
    </font>
    <font>
      <b/>
      <sz val="9"/>
      <name val="ＭＳ Ｐ明朝"/>
      <family val="1"/>
      <charset val="128"/>
    </font>
    <font>
      <b/>
      <sz val="10"/>
      <name val="ＭＳ Ｐ明朝"/>
      <family val="1"/>
      <charset val="128"/>
    </font>
    <font>
      <b/>
      <u/>
      <sz val="14"/>
      <name val="ＭＳ Ｐゴシック"/>
      <family val="3"/>
      <charset val="128"/>
    </font>
    <font>
      <b/>
      <sz val="14"/>
      <name val="ＭＳ Ｐゴシック"/>
      <family val="3"/>
      <charset val="128"/>
    </font>
    <font>
      <sz val="14"/>
      <name val="ＭＳ Ｐゴシック"/>
      <family val="3"/>
      <charset val="128"/>
    </font>
    <font>
      <sz val="11"/>
      <name val="ＭＳ 明朝"/>
      <family val="1"/>
      <charset val="128"/>
    </font>
    <font>
      <sz val="8"/>
      <name val="ＭＳ 明朝"/>
      <family val="1"/>
      <charset val="128"/>
    </font>
    <font>
      <sz val="10"/>
      <name val="ＭＳ Ｐゴシック"/>
      <family val="3"/>
      <charset val="128"/>
    </font>
    <font>
      <sz val="11"/>
      <color theme="5" tint="0.39997558519241921"/>
      <name val="ＭＳ Ｐ明朝"/>
      <family val="1"/>
      <charset val="128"/>
    </font>
    <font>
      <sz val="11"/>
      <color rgb="FFFF0000"/>
      <name val="ＭＳ Ｐ明朝"/>
      <family val="1"/>
      <charset val="128"/>
    </font>
    <font>
      <sz val="9"/>
      <color rgb="FFFF0000"/>
      <name val="ＭＳ Ｐ明朝"/>
      <family val="1"/>
      <charset val="128"/>
    </font>
    <font>
      <sz val="20"/>
      <color rgb="FFFF0000"/>
      <name val="ＭＳ Ｐ明朝"/>
      <family val="1"/>
      <charset val="128"/>
    </font>
    <font>
      <sz val="11"/>
      <color theme="1"/>
      <name val="ＭＳ Ｐゴシック"/>
      <family val="3"/>
      <charset val="128"/>
    </font>
    <font>
      <sz val="8"/>
      <color theme="1"/>
      <name val="ＭＳ 明朝"/>
      <family val="1"/>
      <charset val="128"/>
    </font>
    <font>
      <sz val="10"/>
      <color theme="1"/>
      <name val="ＭＳ Ｐゴシック"/>
      <family val="3"/>
      <charset val="128"/>
    </font>
    <font>
      <sz val="11"/>
      <color indexed="10"/>
      <name val="ＭＳ Ｐゴシック"/>
      <family val="3"/>
      <charset val="128"/>
    </font>
    <font>
      <sz val="14"/>
      <color indexed="10"/>
      <name val="ＭＳ Ｐゴシック"/>
      <family val="3"/>
      <charset val="128"/>
    </font>
    <font>
      <sz val="7"/>
      <color theme="0" tint="-0.499984740745262"/>
      <name val="ＭＳ Ｐ明朝"/>
      <family val="1"/>
      <charset val="128"/>
    </font>
    <font>
      <sz val="12"/>
      <color rgb="FFFF0000"/>
      <name val="ＭＳ Ｐ明朝"/>
      <family val="1"/>
      <charset val="128"/>
    </font>
    <font>
      <sz val="9"/>
      <color rgb="FFFF0000"/>
      <name val="游明朝"/>
      <family val="1"/>
      <charset val="128"/>
    </font>
  </fonts>
  <fills count="4">
    <fill>
      <patternFill patternType="none"/>
    </fill>
    <fill>
      <patternFill patternType="gray125"/>
    </fill>
    <fill>
      <patternFill patternType="solid">
        <fgColor indexed="57"/>
        <bgColor indexed="64"/>
      </patternFill>
    </fill>
    <fill>
      <patternFill patternType="solid">
        <fgColor theme="0" tint="-4.9989318521683403E-2"/>
        <bgColor indexed="64"/>
      </patternFill>
    </fill>
  </fills>
  <borders count="58">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bottom style="dotted">
        <color indexed="64"/>
      </bottom>
      <diagonal/>
    </border>
    <border>
      <left style="thin">
        <color indexed="64"/>
      </left>
      <right/>
      <top/>
      <bottom style="dotted">
        <color indexed="64"/>
      </bottom>
      <diagonal/>
    </border>
    <border>
      <left style="thin">
        <color indexed="64"/>
      </left>
      <right/>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style="medium">
        <color indexed="64"/>
      </bottom>
      <diagonal/>
    </border>
    <border>
      <left/>
      <right/>
      <top style="dotted">
        <color indexed="64"/>
      </top>
      <bottom/>
      <diagonal/>
    </border>
    <border>
      <left style="medium">
        <color indexed="64"/>
      </left>
      <right style="thin">
        <color indexed="64"/>
      </right>
      <top/>
      <bottom style="thin">
        <color indexed="64"/>
      </bottom>
      <diagonal/>
    </border>
    <border>
      <left/>
      <right style="thin">
        <color indexed="64"/>
      </right>
      <top/>
      <bottom style="dotted">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thin">
        <color indexed="64"/>
      </left>
      <right style="thin">
        <color indexed="64"/>
      </right>
      <top/>
      <bottom style="dotted">
        <color indexed="64"/>
      </bottom>
      <diagonal/>
    </border>
    <border>
      <left style="medium">
        <color indexed="64"/>
      </left>
      <right/>
      <top/>
      <bottom style="dotted">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0" fontId="1" fillId="0" borderId="0"/>
    <xf numFmtId="0" fontId="1" fillId="0" borderId="0"/>
  </cellStyleXfs>
  <cellXfs count="355">
    <xf numFmtId="0" fontId="0" fillId="0" borderId="0" xfId="0">
      <alignment vertical="center"/>
    </xf>
    <xf numFmtId="0" fontId="3" fillId="0" borderId="0" xfId="3" applyFont="1"/>
    <xf numFmtId="0" fontId="3" fillId="2" borderId="0" xfId="3" applyFont="1" applyFill="1"/>
    <xf numFmtId="0" fontId="7" fillId="0" borderId="0" xfId="3" applyFont="1" applyAlignment="1">
      <alignment horizontal="center"/>
    </xf>
    <xf numFmtId="0" fontId="7" fillId="0" borderId="1" xfId="3" applyFont="1" applyBorder="1" applyAlignment="1">
      <alignment horizontal="center"/>
    </xf>
    <xf numFmtId="0" fontId="3" fillId="0" borderId="1" xfId="3" applyFont="1" applyBorder="1"/>
    <xf numFmtId="0" fontId="3" fillId="0" borderId="0" xfId="3" applyFont="1" applyAlignment="1">
      <alignment vertical="center"/>
    </xf>
    <xf numFmtId="0" fontId="6" fillId="0" borderId="0" xfId="3" applyFont="1"/>
    <xf numFmtId="0" fontId="3" fillId="0" borderId="3" xfId="3" applyFont="1" applyBorder="1"/>
    <xf numFmtId="38" fontId="10" fillId="0" borderId="0" xfId="3" applyNumberFormat="1" applyFont="1" applyAlignment="1">
      <alignment horizontal="center" vertical="center"/>
    </xf>
    <xf numFmtId="0" fontId="10" fillId="0" borderId="0" xfId="3" applyFont="1" applyAlignment="1">
      <alignment horizontal="center" vertical="center"/>
    </xf>
    <xf numFmtId="0" fontId="3" fillId="0" borderId="0" xfId="3" applyFont="1" applyAlignment="1">
      <alignment horizontal="center"/>
    </xf>
    <xf numFmtId="0" fontId="21" fillId="0" borderId="0" xfId="3" applyFont="1"/>
    <xf numFmtId="0" fontId="22" fillId="0" borderId="0" xfId="3" applyFont="1"/>
    <xf numFmtId="0" fontId="3" fillId="0" borderId="1" xfId="3" applyFont="1" applyBorder="1" applyAlignment="1">
      <alignment vertical="center"/>
    </xf>
    <xf numFmtId="0" fontId="3" fillId="0" borderId="5" xfId="3" applyFont="1" applyBorder="1" applyAlignment="1">
      <alignment vertical="center"/>
    </xf>
    <xf numFmtId="0" fontId="3" fillId="0" borderId="5" xfId="3" applyFont="1" applyBorder="1" applyAlignment="1">
      <alignment horizontal="center" vertical="center"/>
    </xf>
    <xf numFmtId="176" fontId="3" fillId="0" borderId="0" xfId="3" applyNumberFormat="1" applyFont="1" applyAlignment="1">
      <alignment horizontal="right" vertical="center"/>
    </xf>
    <xf numFmtId="0" fontId="22" fillId="0" borderId="5" xfId="3" applyFont="1" applyBorder="1"/>
    <xf numFmtId="0" fontId="3" fillId="0" borderId="5" xfId="3" applyFont="1" applyBorder="1"/>
    <xf numFmtId="0" fontId="4" fillId="0" borderId="0" xfId="3" applyFont="1"/>
    <xf numFmtId="38" fontId="3" fillId="0" borderId="0" xfId="1" applyFont="1" applyFill="1" applyBorder="1" applyAlignment="1">
      <alignment vertical="center"/>
    </xf>
    <xf numFmtId="0" fontId="3" fillId="0" borderId="10" xfId="3" applyFont="1" applyBorder="1" applyAlignment="1">
      <alignment vertical="center"/>
    </xf>
    <xf numFmtId="0" fontId="3" fillId="0" borderId="10" xfId="3" applyFont="1" applyBorder="1" applyAlignment="1">
      <alignment horizontal="center" vertical="center"/>
    </xf>
    <xf numFmtId="0" fontId="8" fillId="0" borderId="0" xfId="3" applyFont="1" applyAlignment="1">
      <alignment vertical="center"/>
    </xf>
    <xf numFmtId="0" fontId="8" fillId="0" borderId="0" xfId="3" applyFont="1" applyAlignment="1">
      <alignment horizontal="center" vertical="center"/>
    </xf>
    <xf numFmtId="0" fontId="12" fillId="0" borderId="1" xfId="3" applyFont="1" applyBorder="1" applyAlignment="1">
      <alignment vertical="center"/>
    </xf>
    <xf numFmtId="0" fontId="12" fillId="0" borderId="0" xfId="3" applyFont="1" applyAlignment="1">
      <alignment vertical="center"/>
    </xf>
    <xf numFmtId="176" fontId="8" fillId="0" borderId="0" xfId="3" applyNumberFormat="1" applyFont="1" applyAlignment="1">
      <alignment horizontal="right" vertical="center"/>
    </xf>
    <xf numFmtId="0" fontId="6" fillId="0" borderId="12" xfId="3" applyFont="1" applyBorder="1" applyAlignment="1">
      <alignment vertical="center"/>
    </xf>
    <xf numFmtId="0" fontId="12" fillId="0" borderId="5" xfId="3" applyFont="1" applyBorder="1" applyAlignment="1">
      <alignment vertical="center"/>
    </xf>
    <xf numFmtId="176" fontId="8" fillId="0" borderId="5" xfId="3" applyNumberFormat="1" applyFont="1" applyBorder="1" applyAlignment="1">
      <alignment horizontal="right" vertical="center"/>
    </xf>
    <xf numFmtId="0" fontId="3" fillId="0" borderId="4" xfId="3" applyFont="1" applyBorder="1" applyAlignment="1">
      <alignment vertical="center"/>
    </xf>
    <xf numFmtId="177" fontId="3" fillId="0" borderId="14" xfId="3" applyNumberFormat="1" applyFont="1" applyBorder="1" applyAlignment="1" applyProtection="1">
      <alignment vertical="center"/>
      <protection locked="0"/>
    </xf>
    <xf numFmtId="38" fontId="3" fillId="0" borderId="0" xfId="3" applyNumberFormat="1" applyFont="1" applyAlignment="1">
      <alignment vertical="center"/>
    </xf>
    <xf numFmtId="0" fontId="8" fillId="0" borderId="14" xfId="3" applyFont="1" applyBorder="1" applyAlignment="1" applyProtection="1">
      <alignment horizontal="center" vertical="center"/>
      <protection locked="0"/>
    </xf>
    <xf numFmtId="0" fontId="3" fillId="0" borderId="18" xfId="3" applyFont="1" applyBorder="1"/>
    <xf numFmtId="0" fontId="3" fillId="0" borderId="6" xfId="3" applyFont="1" applyBorder="1"/>
    <xf numFmtId="0" fontId="3" fillId="0" borderId="19" xfId="3" applyFont="1" applyBorder="1"/>
    <xf numFmtId="0" fontId="3" fillId="0" borderId="20" xfId="3" applyFont="1" applyBorder="1" applyAlignment="1">
      <alignment vertical="center"/>
    </xf>
    <xf numFmtId="0" fontId="3" fillId="0" borderId="20" xfId="3" applyFont="1" applyBorder="1" applyAlignment="1">
      <alignment horizontal="left" vertical="center"/>
    </xf>
    <xf numFmtId="38" fontId="3" fillId="0" borderId="20" xfId="3" applyNumberFormat="1" applyFont="1" applyBorder="1" applyAlignment="1">
      <alignment vertical="center"/>
    </xf>
    <xf numFmtId="0" fontId="3" fillId="0" borderId="21" xfId="3" applyFont="1" applyBorder="1" applyAlignment="1">
      <alignment vertical="center"/>
    </xf>
    <xf numFmtId="0" fontId="6" fillId="0" borderId="1" xfId="3" applyFont="1" applyBorder="1" applyAlignment="1">
      <alignment vertical="center"/>
    </xf>
    <xf numFmtId="176" fontId="3" fillId="0" borderId="22" xfId="3" applyNumberFormat="1" applyFont="1" applyBorder="1" applyAlignment="1">
      <alignment horizontal="right" vertical="center"/>
    </xf>
    <xf numFmtId="176" fontId="3" fillId="0" borderId="23" xfId="3" applyNumberFormat="1" applyFont="1" applyBorder="1" applyAlignment="1">
      <alignment horizontal="right" vertical="center"/>
    </xf>
    <xf numFmtId="176" fontId="3" fillId="0" borderId="24" xfId="3" applyNumberFormat="1" applyFont="1" applyBorder="1" applyAlignment="1">
      <alignment horizontal="right" vertical="center"/>
    </xf>
    <xf numFmtId="176" fontId="3" fillId="0" borderId="25" xfId="3" applyNumberFormat="1" applyFont="1" applyBorder="1" applyAlignment="1">
      <alignment horizontal="right" vertical="center"/>
    </xf>
    <xf numFmtId="0" fontId="12" fillId="0" borderId="9" xfId="3" applyFont="1" applyBorder="1" applyAlignment="1">
      <alignment horizontal="center" vertical="center"/>
    </xf>
    <xf numFmtId="0" fontId="3" fillId="0" borderId="9" xfId="3" applyFont="1" applyBorder="1" applyAlignment="1" applyProtection="1">
      <alignment horizontal="center"/>
      <protection locked="0"/>
    </xf>
    <xf numFmtId="0" fontId="3" fillId="0" borderId="3" xfId="3" applyFont="1" applyBorder="1" applyAlignment="1">
      <alignment horizontal="distributed" vertical="center" justifyLastLine="1"/>
    </xf>
    <xf numFmtId="0" fontId="12" fillId="0" borderId="8" xfId="3" applyFont="1" applyBorder="1" applyAlignment="1">
      <alignment horizontal="center" vertical="center"/>
    </xf>
    <xf numFmtId="0" fontId="3" fillId="0" borderId="13" xfId="3" applyFont="1" applyBorder="1"/>
    <xf numFmtId="0" fontId="23" fillId="0" borderId="14" xfId="3" applyFont="1" applyBorder="1" applyAlignment="1" applyProtection="1">
      <alignment horizontal="center" vertical="center"/>
      <protection locked="0"/>
    </xf>
    <xf numFmtId="0" fontId="24" fillId="0" borderId="0" xfId="3" applyFont="1" applyAlignment="1">
      <alignment vertical="top"/>
    </xf>
    <xf numFmtId="177" fontId="22" fillId="0" borderId="26" xfId="3" applyNumberFormat="1" applyFont="1" applyBorder="1" applyAlignment="1" applyProtection="1">
      <alignment vertical="center"/>
      <protection locked="0"/>
    </xf>
    <xf numFmtId="0" fontId="1" fillId="0" borderId="0" xfId="2"/>
    <xf numFmtId="0" fontId="15" fillId="0" borderId="0" xfId="2" applyFont="1" applyAlignment="1">
      <alignment vertical="center" wrapText="1"/>
    </xf>
    <xf numFmtId="0" fontId="18" fillId="0" borderId="0" xfId="2" applyFont="1"/>
    <xf numFmtId="0" fontId="18" fillId="0" borderId="27" xfId="2" applyFont="1" applyBorder="1" applyAlignment="1">
      <alignment horizontal="left" vertical="center"/>
    </xf>
    <xf numFmtId="0" fontId="18" fillId="0" borderId="28" xfId="2" applyFont="1" applyBorder="1" applyAlignment="1">
      <alignment horizontal="left" vertical="center"/>
    </xf>
    <xf numFmtId="0" fontId="18" fillId="0" borderId="29" xfId="2" applyFont="1" applyBorder="1" applyAlignment="1">
      <alignment horizontal="centerContinuous" vertical="center"/>
    </xf>
    <xf numFmtId="0" fontId="18" fillId="0" borderId="30" xfId="2" applyFont="1" applyBorder="1" applyAlignment="1">
      <alignment horizontal="centerContinuous" vertical="center"/>
    </xf>
    <xf numFmtId="0" fontId="18" fillId="0" borderId="31" xfId="2" applyFont="1" applyBorder="1" applyAlignment="1">
      <alignment horizontal="center" vertical="center"/>
    </xf>
    <xf numFmtId="0" fontId="18" fillId="0" borderId="7" xfId="2" applyFont="1" applyBorder="1" applyAlignment="1">
      <alignment horizontal="left" vertical="center"/>
    </xf>
    <xf numFmtId="0" fontId="18" fillId="0" borderId="24" xfId="2" applyFont="1" applyBorder="1" applyAlignment="1">
      <alignment horizontal="left" vertical="center"/>
    </xf>
    <xf numFmtId="0" fontId="18" fillId="0" borderId="32" xfId="2" applyFont="1" applyBorder="1" applyAlignment="1">
      <alignment horizontal="centerContinuous" vertical="center"/>
    </xf>
    <xf numFmtId="0" fontId="18" fillId="0" borderId="20" xfId="2" applyFont="1" applyBorder="1" applyAlignment="1">
      <alignment horizontal="centerContinuous" vertical="center"/>
    </xf>
    <xf numFmtId="0" fontId="18" fillId="0" borderId="33" xfId="2" applyFont="1" applyBorder="1" applyAlignment="1">
      <alignment horizontal="center" vertical="center"/>
    </xf>
    <xf numFmtId="0" fontId="18" fillId="0" borderId="34" xfId="2" applyFont="1" applyBorder="1" applyAlignment="1">
      <alignment vertical="center"/>
    </xf>
    <xf numFmtId="0" fontId="18" fillId="0" borderId="35" xfId="2" applyFont="1" applyBorder="1" applyAlignment="1">
      <alignment vertical="center"/>
    </xf>
    <xf numFmtId="0" fontId="18" fillId="0" borderId="2" xfId="2" applyFont="1" applyBorder="1" applyAlignment="1">
      <alignment horizontal="center" vertical="center"/>
    </xf>
    <xf numFmtId="0" fontId="18" fillId="0" borderId="36" xfId="2" applyFont="1" applyBorder="1" applyAlignment="1">
      <alignment vertical="center"/>
    </xf>
    <xf numFmtId="0" fontId="18" fillId="0" borderId="37" xfId="2" applyFont="1" applyBorder="1" applyAlignment="1">
      <alignment horizontal="center" vertical="center"/>
    </xf>
    <xf numFmtId="0" fontId="18" fillId="0" borderId="2" xfId="2" applyFont="1" applyBorder="1" applyAlignment="1">
      <alignment horizontal="centerContinuous" vertical="center"/>
    </xf>
    <xf numFmtId="0" fontId="18" fillId="0" borderId="19" xfId="2" applyFont="1" applyBorder="1" applyAlignment="1">
      <alignment horizontal="center" vertical="center"/>
    </xf>
    <xf numFmtId="0" fontId="19" fillId="0" borderId="38" xfId="2" applyFont="1" applyBorder="1" applyAlignment="1">
      <alignment horizontal="right" vertical="top"/>
    </xf>
    <xf numFmtId="0" fontId="19" fillId="0" borderId="22" xfId="2" applyFont="1" applyBorder="1" applyAlignment="1">
      <alignment horizontal="right" vertical="top"/>
    </xf>
    <xf numFmtId="0" fontId="19" fillId="0" borderId="39" xfId="2" applyFont="1" applyBorder="1" applyAlignment="1">
      <alignment horizontal="right" vertical="top"/>
    </xf>
    <xf numFmtId="3" fontId="1" fillId="0" borderId="40" xfId="2" applyNumberFormat="1" applyBorder="1" applyAlignment="1">
      <alignment vertical="top"/>
    </xf>
    <xf numFmtId="3" fontId="1" fillId="0" borderId="23" xfId="2" applyNumberFormat="1" applyBorder="1" applyAlignment="1">
      <alignment vertical="top"/>
    </xf>
    <xf numFmtId="3" fontId="20" fillId="0" borderId="33" xfId="2" applyNumberFormat="1" applyFont="1" applyBorder="1" applyAlignment="1">
      <alignment wrapText="1"/>
    </xf>
    <xf numFmtId="1" fontId="1" fillId="0" borderId="0" xfId="2" applyNumberFormat="1"/>
    <xf numFmtId="3" fontId="1" fillId="0" borderId="23" xfId="2" applyNumberFormat="1" applyBorder="1"/>
    <xf numFmtId="3" fontId="25" fillId="0" borderId="40" xfId="2" applyNumberFormat="1" applyFont="1" applyBorder="1"/>
    <xf numFmtId="3" fontId="25" fillId="0" borderId="23" xfId="2" applyNumberFormat="1" applyFont="1" applyBorder="1"/>
    <xf numFmtId="3" fontId="25" fillId="0" borderId="33" xfId="2" applyNumberFormat="1" applyFont="1" applyBorder="1"/>
    <xf numFmtId="0" fontId="25" fillId="0" borderId="7" xfId="0" applyFont="1" applyBorder="1" applyAlignment="1">
      <alignment horizontal="centerContinuous"/>
    </xf>
    <xf numFmtId="0" fontId="25" fillId="0" borderId="24" xfId="0" applyFont="1" applyBorder="1" applyAlignment="1">
      <alignment horizontal="centerContinuous"/>
    </xf>
    <xf numFmtId="0" fontId="26" fillId="0" borderId="23" xfId="0" applyFont="1" applyBorder="1" applyAlignment="1">
      <alignment horizontal="right" vertical="center"/>
    </xf>
    <xf numFmtId="0" fontId="26" fillId="0" borderId="33" xfId="0" applyFont="1" applyBorder="1" applyAlignment="1">
      <alignment horizontal="right" vertical="center"/>
    </xf>
    <xf numFmtId="3" fontId="25" fillId="0" borderId="34" xfId="0" applyNumberFormat="1" applyFont="1" applyBorder="1" applyAlignment="1">
      <alignment horizontal="centerContinuous"/>
    </xf>
    <xf numFmtId="0" fontId="25" fillId="0" borderId="35" xfId="0" applyFont="1" applyBorder="1" applyAlignment="1">
      <alignment horizontal="centerContinuous"/>
    </xf>
    <xf numFmtId="38" fontId="25" fillId="0" borderId="25" xfId="1" applyFont="1" applyFill="1" applyBorder="1" applyAlignment="1"/>
    <xf numFmtId="3" fontId="25" fillId="0" borderId="36" xfId="2" applyNumberFormat="1" applyFont="1" applyBorder="1"/>
    <xf numFmtId="38" fontId="25" fillId="0" borderId="1" xfId="1" applyFont="1" applyFill="1" applyBorder="1" applyAlignment="1"/>
    <xf numFmtId="38" fontId="25" fillId="0" borderId="0" xfId="1" applyFont="1" applyFill="1" applyBorder="1" applyAlignment="1"/>
    <xf numFmtId="38" fontId="25" fillId="0" borderId="24" xfId="1" applyFont="1" applyFill="1" applyBorder="1" applyAlignment="1"/>
    <xf numFmtId="0" fontId="25" fillId="0" borderId="7" xfId="0" applyFont="1" applyBorder="1" applyAlignment="1">
      <alignment horizontal="left"/>
    </xf>
    <xf numFmtId="0" fontId="25" fillId="0" borderId="24" xfId="0" applyFont="1" applyBorder="1" applyAlignment="1">
      <alignment horizontal="left"/>
    </xf>
    <xf numFmtId="0" fontId="25" fillId="0" borderId="1" xfId="0" applyFont="1" applyBorder="1" applyAlignment="1">
      <alignment horizontal="centerContinuous"/>
    </xf>
    <xf numFmtId="0" fontId="25" fillId="0" borderId="0" xfId="0" applyFont="1" applyAlignment="1">
      <alignment horizontal="centerContinuous"/>
    </xf>
    <xf numFmtId="0" fontId="25" fillId="0" borderId="1" xfId="0" applyFont="1" applyBorder="1" applyAlignment="1">
      <alignment horizontal="left"/>
    </xf>
    <xf numFmtId="0" fontId="25" fillId="0" borderId="0" xfId="0" applyFont="1" applyAlignment="1">
      <alignment horizontal="left"/>
    </xf>
    <xf numFmtId="0" fontId="25" fillId="0" borderId="7" xfId="0" applyFont="1" applyBorder="1" applyAlignment="1">
      <alignment horizontal="center"/>
    </xf>
    <xf numFmtId="0" fontId="25" fillId="0" borderId="24" xfId="0" applyFont="1" applyBorder="1" applyAlignment="1">
      <alignment horizontal="center"/>
    </xf>
    <xf numFmtId="0" fontId="25" fillId="0" borderId="34" xfId="0" applyFont="1" applyBorder="1" applyAlignment="1">
      <alignment horizontal="left"/>
    </xf>
    <xf numFmtId="0" fontId="25" fillId="0" borderId="35" xfId="0" applyFont="1" applyBorder="1" applyAlignment="1">
      <alignment horizontal="left"/>
    </xf>
    <xf numFmtId="0" fontId="25" fillId="0" borderId="12" xfId="0" applyFont="1" applyBorder="1" applyAlignment="1">
      <alignment horizontal="centerContinuous"/>
    </xf>
    <xf numFmtId="0" fontId="25" fillId="0" borderId="5" xfId="0" applyFont="1" applyBorder="1" applyAlignment="1">
      <alignment horizontal="centerContinuous"/>
    </xf>
    <xf numFmtId="0" fontId="25" fillId="0" borderId="42" xfId="0" applyFont="1" applyBorder="1" applyAlignment="1">
      <alignment horizontal="centerContinuous"/>
    </xf>
    <xf numFmtId="0" fontId="25" fillId="0" borderId="43" xfId="0" applyFont="1" applyBorder="1" applyAlignment="1">
      <alignment horizontal="centerContinuous"/>
    </xf>
    <xf numFmtId="0" fontId="26" fillId="0" borderId="22" xfId="0" applyFont="1" applyBorder="1" applyAlignment="1">
      <alignment horizontal="right" vertical="center"/>
    </xf>
    <xf numFmtId="0" fontId="26" fillId="0" borderId="39" xfId="0" applyFont="1" applyBorder="1" applyAlignment="1">
      <alignment horizontal="right" vertical="center"/>
    </xf>
    <xf numFmtId="38" fontId="25" fillId="0" borderId="44" xfId="1" applyFont="1" applyFill="1" applyBorder="1" applyAlignment="1"/>
    <xf numFmtId="38" fontId="25" fillId="0" borderId="45" xfId="1" applyFont="1" applyFill="1" applyBorder="1" applyAlignment="1"/>
    <xf numFmtId="38" fontId="25" fillId="0" borderId="43" xfId="1" applyFont="1" applyFill="1" applyBorder="1" applyAlignment="1"/>
    <xf numFmtId="3" fontId="25" fillId="0" borderId="7" xfId="0" applyNumberFormat="1" applyFont="1" applyBorder="1" applyAlignment="1">
      <alignment horizontal="centerContinuous"/>
    </xf>
    <xf numFmtId="0" fontId="25" fillId="0" borderId="42" xfId="0" applyFont="1" applyBorder="1" applyAlignment="1">
      <alignment horizontal="center"/>
    </xf>
    <xf numFmtId="0" fontId="25" fillId="0" borderId="45" xfId="0" applyFont="1" applyBorder="1" applyAlignment="1">
      <alignment horizontal="center"/>
    </xf>
    <xf numFmtId="0" fontId="25" fillId="0" borderId="45" xfId="0" applyFont="1" applyBorder="1">
      <alignment vertical="center"/>
    </xf>
    <xf numFmtId="0" fontId="25" fillId="0" borderId="43" xfId="0" applyFont="1" applyBorder="1">
      <alignment vertical="center"/>
    </xf>
    <xf numFmtId="0" fontId="25" fillId="0" borderId="0" xfId="0" applyFont="1" applyAlignment="1">
      <alignment horizontal="center"/>
    </xf>
    <xf numFmtId="0" fontId="25" fillId="0" borderId="0" xfId="0" applyFont="1">
      <alignment vertical="center"/>
    </xf>
    <xf numFmtId="0" fontId="25" fillId="0" borderId="24" xfId="0" applyFont="1" applyBorder="1">
      <alignment vertical="center"/>
    </xf>
    <xf numFmtId="0" fontId="25" fillId="0" borderId="7" xfId="2" applyFont="1" applyBorder="1"/>
    <xf numFmtId="0" fontId="25" fillId="0" borderId="8" xfId="0" applyFont="1" applyBorder="1" applyAlignment="1">
      <alignment horizontal="center"/>
    </xf>
    <xf numFmtId="0" fontId="25" fillId="0" borderId="9" xfId="0" applyFont="1" applyBorder="1" applyAlignment="1">
      <alignment horizontal="center"/>
    </xf>
    <xf numFmtId="0" fontId="25" fillId="0" borderId="9" xfId="0" applyFont="1" applyBorder="1">
      <alignment vertical="center"/>
    </xf>
    <xf numFmtId="0" fontId="25" fillId="0" borderId="46" xfId="0" applyFont="1" applyBorder="1">
      <alignment vertical="center"/>
    </xf>
    <xf numFmtId="0" fontId="3" fillId="0" borderId="15" xfId="3" applyFont="1" applyBorder="1" applyAlignment="1">
      <alignment vertical="center"/>
    </xf>
    <xf numFmtId="0" fontId="3" fillId="0" borderId="16" xfId="3" applyFont="1" applyBorder="1" applyAlignment="1">
      <alignment horizontal="center" vertical="center"/>
    </xf>
    <xf numFmtId="0" fontId="3" fillId="0" borderId="16" xfId="3" applyFont="1" applyBorder="1" applyAlignment="1" applyProtection="1">
      <alignment horizontal="center" vertical="center"/>
      <protection locked="0"/>
    </xf>
    <xf numFmtId="0" fontId="3" fillId="0" borderId="17" xfId="3" applyFont="1" applyBorder="1" applyAlignment="1">
      <alignment horizontal="center" vertical="center"/>
    </xf>
    <xf numFmtId="177" fontId="22" fillId="0" borderId="14" xfId="3" applyNumberFormat="1" applyFont="1" applyBorder="1" applyAlignment="1" applyProtection="1">
      <alignment vertical="center"/>
      <protection locked="0"/>
    </xf>
    <xf numFmtId="38" fontId="23" fillId="0" borderId="0" xfId="3" applyNumberFormat="1" applyFont="1" applyAlignment="1">
      <alignment vertical="top"/>
    </xf>
    <xf numFmtId="0" fontId="3" fillId="0" borderId="0" xfId="3" applyFont="1" applyAlignment="1">
      <alignment horizontal="center" vertical="center"/>
    </xf>
    <xf numFmtId="0" fontId="1" fillId="0" borderId="7" xfId="2" applyBorder="1"/>
    <xf numFmtId="1" fontId="1" fillId="0" borderId="4" xfId="2" applyNumberFormat="1" applyBorder="1"/>
    <xf numFmtId="0" fontId="26" fillId="0" borderId="6" xfId="0" applyFont="1" applyBorder="1" applyAlignment="1">
      <alignment horizontal="right" vertical="center"/>
    </xf>
    <xf numFmtId="0" fontId="26" fillId="0" borderId="25" xfId="0" applyFont="1" applyBorder="1" applyAlignment="1">
      <alignment horizontal="right" vertical="center"/>
    </xf>
    <xf numFmtId="0" fontId="25" fillId="0" borderId="34" xfId="0" applyFont="1" applyBorder="1" applyAlignment="1">
      <alignment horizontal="centerContinuous"/>
    </xf>
    <xf numFmtId="38" fontId="25" fillId="0" borderId="23" xfId="1" applyFont="1" applyFill="1" applyBorder="1" applyAlignment="1"/>
    <xf numFmtId="3" fontId="1" fillId="0" borderId="33" xfId="2" applyNumberFormat="1" applyBorder="1"/>
    <xf numFmtId="3" fontId="1" fillId="0" borderId="40" xfId="2" applyNumberFormat="1" applyBorder="1"/>
    <xf numFmtId="3" fontId="1" fillId="0" borderId="36" xfId="2" applyNumberFormat="1" applyBorder="1"/>
    <xf numFmtId="3" fontId="1" fillId="0" borderId="25" xfId="2" applyNumberFormat="1" applyBorder="1"/>
    <xf numFmtId="3" fontId="1" fillId="0" borderId="48" xfId="2" applyNumberFormat="1" applyBorder="1"/>
    <xf numFmtId="3" fontId="20" fillId="0" borderId="33" xfId="2" applyNumberFormat="1" applyFont="1" applyBorder="1" applyAlignment="1">
      <alignment horizontal="left" vertical="top" wrapText="1"/>
    </xf>
    <xf numFmtId="3" fontId="1" fillId="0" borderId="24" xfId="2" applyNumberFormat="1" applyBorder="1" applyAlignment="1">
      <alignment vertical="top"/>
    </xf>
    <xf numFmtId="176" fontId="3" fillId="0" borderId="24" xfId="3" applyNumberFormat="1" applyFont="1" applyBorder="1" applyAlignment="1">
      <alignment vertical="center"/>
    </xf>
    <xf numFmtId="176" fontId="3" fillId="0" borderId="49" xfId="3" applyNumberFormat="1" applyFont="1" applyBorder="1" applyAlignment="1">
      <alignment horizontal="right" vertical="center"/>
    </xf>
    <xf numFmtId="176" fontId="3" fillId="0" borderId="35" xfId="3" applyNumberFormat="1" applyFont="1" applyBorder="1" applyAlignment="1">
      <alignment horizontal="right" vertical="center"/>
    </xf>
    <xf numFmtId="38" fontId="3" fillId="0" borderId="24" xfId="1" applyFont="1" applyFill="1" applyBorder="1" applyAlignment="1">
      <alignment vertical="center"/>
    </xf>
    <xf numFmtId="177" fontId="3" fillId="0" borderId="26" xfId="3" applyNumberFormat="1" applyFont="1" applyBorder="1" applyAlignment="1" applyProtection="1">
      <alignment vertical="center"/>
      <protection locked="0"/>
    </xf>
    <xf numFmtId="0" fontId="3" fillId="0" borderId="0" xfId="3" applyFont="1" applyAlignment="1" applyProtection="1">
      <alignment horizontal="center" vertical="center"/>
      <protection locked="0"/>
    </xf>
    <xf numFmtId="0" fontId="3" fillId="0" borderId="0" xfId="3" applyFont="1" applyAlignment="1">
      <alignment horizontal="left" vertical="center"/>
    </xf>
    <xf numFmtId="0" fontId="6" fillId="0" borderId="0" xfId="3" applyFont="1" applyAlignment="1">
      <alignment horizontal="right" vertical="center"/>
    </xf>
    <xf numFmtId="0" fontId="3" fillId="0" borderId="20" xfId="3" applyFont="1" applyBorder="1" applyAlignment="1">
      <alignment horizontal="right" vertical="center"/>
    </xf>
    <xf numFmtId="0" fontId="5" fillId="0" borderId="0" xfId="3" applyFont="1" applyAlignment="1">
      <alignment horizontal="center" vertical="center"/>
    </xf>
    <xf numFmtId="0" fontId="3" fillId="0" borderId="20" xfId="3" applyFont="1" applyBorder="1" applyAlignment="1">
      <alignment horizontal="center" vertical="center"/>
    </xf>
    <xf numFmtId="0" fontId="3" fillId="0" borderId="34" xfId="3" applyFont="1" applyBorder="1" applyAlignment="1">
      <alignment vertical="center"/>
    </xf>
    <xf numFmtId="38" fontId="3" fillId="0" borderId="0" xfId="3" applyNumberFormat="1" applyFont="1" applyAlignment="1" applyProtection="1">
      <alignment horizontal="right" vertical="center"/>
      <protection locked="0"/>
    </xf>
    <xf numFmtId="0" fontId="6" fillId="0" borderId="0" xfId="3" applyFont="1" applyAlignment="1">
      <alignment vertical="center"/>
    </xf>
    <xf numFmtId="38" fontId="9" fillId="3" borderId="0" xfId="3" applyNumberFormat="1" applyFont="1" applyFill="1" applyAlignment="1">
      <alignment vertical="center"/>
    </xf>
    <xf numFmtId="38" fontId="3" fillId="0" borderId="5" xfId="3" applyNumberFormat="1" applyFont="1" applyBorder="1" applyAlignment="1">
      <alignment vertical="center"/>
    </xf>
    <xf numFmtId="176" fontId="3" fillId="0" borderId="56" xfId="3" applyNumberFormat="1" applyFont="1" applyBorder="1" applyAlignment="1">
      <alignment horizontal="right" vertical="center"/>
    </xf>
    <xf numFmtId="0" fontId="22" fillId="0" borderId="16" xfId="3" applyFont="1" applyBorder="1" applyAlignment="1" applyProtection="1">
      <alignment horizontal="center" vertical="center"/>
      <protection locked="0"/>
    </xf>
    <xf numFmtId="0" fontId="3" fillId="0" borderId="9" xfId="3" applyFont="1" applyBorder="1" applyAlignment="1">
      <alignment horizontal="center"/>
    </xf>
    <xf numFmtId="38" fontId="3" fillId="0" borderId="0" xfId="1" applyFont="1" applyFill="1" applyBorder="1" applyAlignment="1" applyProtection="1">
      <alignment vertical="center"/>
    </xf>
    <xf numFmtId="38" fontId="3" fillId="0" borderId="24" xfId="1" applyFont="1" applyFill="1" applyBorder="1" applyAlignment="1" applyProtection="1">
      <alignment vertical="center"/>
    </xf>
    <xf numFmtId="38" fontId="3" fillId="0" borderId="0" xfId="3" applyNumberFormat="1" applyFont="1" applyAlignment="1">
      <alignment horizontal="right" vertical="center"/>
    </xf>
    <xf numFmtId="0" fontId="3" fillId="0" borderId="0" xfId="3" applyFont="1" applyAlignment="1" applyProtection="1">
      <alignment horizontal="left"/>
      <protection locked="0"/>
    </xf>
    <xf numFmtId="0" fontId="6" fillId="0" borderId="1" xfId="3" applyFont="1" applyBorder="1" applyAlignment="1">
      <alignment horizontal="center" vertical="center"/>
    </xf>
    <xf numFmtId="0" fontId="6" fillId="0" borderId="0" xfId="3" applyFont="1" applyAlignment="1">
      <alignment horizontal="center" vertical="center"/>
    </xf>
    <xf numFmtId="0" fontId="14" fillId="0" borderId="44" xfId="3" applyFont="1" applyBorder="1" applyAlignment="1">
      <alignment horizontal="center" vertical="center"/>
    </xf>
    <xf numFmtId="0" fontId="14" fillId="0" borderId="45" xfId="3" applyFont="1" applyBorder="1" applyAlignment="1">
      <alignment horizontal="center" vertical="center"/>
    </xf>
    <xf numFmtId="0" fontId="14" fillId="0" borderId="43" xfId="3" applyFont="1" applyBorder="1" applyAlignment="1">
      <alignment horizontal="center" vertical="center"/>
    </xf>
    <xf numFmtId="0" fontId="13" fillId="0" borderId="12" xfId="3" applyFont="1" applyBorder="1" applyAlignment="1">
      <alignment horizontal="center" vertical="center"/>
    </xf>
    <xf numFmtId="0" fontId="13" fillId="0" borderId="5" xfId="3" applyFont="1" applyBorder="1" applyAlignment="1">
      <alignment horizontal="center" vertical="center"/>
    </xf>
    <xf numFmtId="0" fontId="13" fillId="0" borderId="35" xfId="3" applyFont="1" applyBorder="1" applyAlignment="1">
      <alignment horizontal="center" vertical="center"/>
    </xf>
    <xf numFmtId="38" fontId="9" fillId="3" borderId="32" xfId="3" applyNumberFormat="1" applyFont="1" applyFill="1" applyBorder="1" applyAlignment="1">
      <alignment horizontal="right" vertical="center"/>
    </xf>
    <xf numFmtId="0" fontId="9" fillId="3" borderId="21" xfId="3" applyFont="1" applyFill="1" applyBorder="1" applyAlignment="1">
      <alignment horizontal="right" vertical="center"/>
    </xf>
    <xf numFmtId="0" fontId="3" fillId="0" borderId="7" xfId="3" applyFont="1" applyBorder="1" applyAlignment="1">
      <alignment horizontal="center" vertical="center"/>
    </xf>
    <xf numFmtId="0" fontId="3" fillId="0" borderId="0" xfId="3" applyFont="1" applyAlignment="1">
      <alignment horizontal="center" vertical="center"/>
    </xf>
    <xf numFmtId="0" fontId="3" fillId="0" borderId="1" xfId="3" applyFont="1" applyBorder="1" applyAlignment="1">
      <alignment horizontal="center"/>
    </xf>
    <xf numFmtId="0" fontId="3" fillId="0" borderId="24" xfId="3" applyFont="1" applyBorder="1" applyAlignment="1">
      <alignment horizontal="center"/>
    </xf>
    <xf numFmtId="0" fontId="3" fillId="0" borderId="12" xfId="3" applyFont="1" applyBorder="1" applyAlignment="1">
      <alignment horizontal="center"/>
    </xf>
    <xf numFmtId="0" fontId="3" fillId="0" borderId="35" xfId="3" applyFont="1" applyBorder="1" applyAlignment="1">
      <alignment horizontal="center"/>
    </xf>
    <xf numFmtId="38" fontId="3" fillId="0" borderId="8" xfId="1" applyFont="1" applyFill="1" applyBorder="1" applyAlignment="1" applyProtection="1">
      <alignment horizontal="right" vertical="center"/>
      <protection locked="0"/>
    </xf>
    <xf numFmtId="38" fontId="3" fillId="0" borderId="13" xfId="1" applyFont="1" applyFill="1" applyBorder="1" applyAlignment="1" applyProtection="1">
      <alignment horizontal="right" vertical="center"/>
      <protection locked="0"/>
    </xf>
    <xf numFmtId="0" fontId="3" fillId="0" borderId="0" xfId="3" applyFont="1" applyAlignment="1">
      <alignment horizontal="right" vertical="center"/>
    </xf>
    <xf numFmtId="38" fontId="9" fillId="3" borderId="10" xfId="3" applyNumberFormat="1" applyFont="1" applyFill="1" applyBorder="1" applyAlignment="1">
      <alignment horizontal="right" vertical="center"/>
    </xf>
    <xf numFmtId="176" fontId="3" fillId="3" borderId="0" xfId="3" applyNumberFormat="1" applyFont="1" applyFill="1" applyAlignment="1">
      <alignment horizontal="right" vertical="center"/>
    </xf>
    <xf numFmtId="0" fontId="3" fillId="0" borderId="50" xfId="3" applyFont="1" applyBorder="1" applyAlignment="1">
      <alignment horizontal="center" vertical="center"/>
    </xf>
    <xf numFmtId="0" fontId="3" fillId="0" borderId="51" xfId="3" applyFont="1" applyBorder="1" applyAlignment="1">
      <alignment horizontal="center" vertical="center"/>
    </xf>
    <xf numFmtId="0" fontId="3" fillId="0" borderId="52" xfId="3" applyFont="1" applyBorder="1" applyAlignment="1">
      <alignment horizontal="center" vertical="center"/>
    </xf>
    <xf numFmtId="0" fontId="3" fillId="0" borderId="32" xfId="3" applyFont="1" applyBorder="1" applyAlignment="1">
      <alignment horizontal="center" vertical="center"/>
    </xf>
    <xf numFmtId="0" fontId="3" fillId="0" borderId="20" xfId="3" applyFont="1" applyBorder="1" applyAlignment="1">
      <alignment horizontal="center" vertical="center"/>
    </xf>
    <xf numFmtId="0" fontId="3" fillId="0" borderId="21" xfId="3" applyFont="1" applyBorder="1" applyAlignment="1">
      <alignment horizontal="center" vertical="center"/>
    </xf>
    <xf numFmtId="38" fontId="9" fillId="3" borderId="25" xfId="1" applyFont="1" applyFill="1" applyBorder="1" applyAlignment="1" applyProtection="1">
      <alignment horizontal="right" vertical="center"/>
    </xf>
    <xf numFmtId="38" fontId="3" fillId="0" borderId="15" xfId="1" applyFont="1" applyFill="1" applyBorder="1" applyAlignment="1" applyProtection="1">
      <alignment horizontal="right" vertical="center"/>
      <protection locked="0"/>
    </xf>
    <xf numFmtId="38" fontId="3" fillId="0" borderId="17" xfId="1" applyFont="1" applyFill="1" applyBorder="1" applyAlignment="1" applyProtection="1">
      <alignment horizontal="right" vertical="center"/>
      <protection locked="0"/>
    </xf>
    <xf numFmtId="0" fontId="3" fillId="0" borderId="0" xfId="3" applyFont="1" applyAlignment="1">
      <alignment horizontal="left" vertical="center"/>
    </xf>
    <xf numFmtId="38" fontId="3" fillId="3" borderId="0" xfId="1" applyFont="1" applyFill="1" applyBorder="1" applyAlignment="1" applyProtection="1">
      <alignment horizontal="right" vertical="center"/>
    </xf>
    <xf numFmtId="0" fontId="7" fillId="0" borderId="0" xfId="3" applyFont="1" applyAlignment="1">
      <alignment horizontal="center"/>
    </xf>
    <xf numFmtId="38" fontId="3" fillId="3" borderId="20" xfId="3" applyNumberFormat="1" applyFont="1" applyFill="1" applyBorder="1" applyAlignment="1">
      <alignment horizontal="right" vertical="center"/>
    </xf>
    <xf numFmtId="0" fontId="6" fillId="0" borderId="0" xfId="3" applyFont="1" applyAlignment="1">
      <alignment horizontal="right" vertical="center"/>
    </xf>
    <xf numFmtId="0" fontId="5" fillId="0" borderId="0" xfId="3" applyFont="1" applyAlignment="1">
      <alignment horizontal="center" vertical="center"/>
    </xf>
    <xf numFmtId="0" fontId="8" fillId="0" borderId="32" xfId="3" applyFont="1" applyBorder="1" applyAlignment="1">
      <alignment horizontal="center" vertical="center" shrinkToFit="1"/>
    </xf>
    <xf numFmtId="0" fontId="3" fillId="0" borderId="21" xfId="3" applyFont="1" applyBorder="1" applyAlignment="1">
      <alignment horizontal="center" vertical="center" shrinkToFit="1"/>
    </xf>
    <xf numFmtId="0" fontId="8" fillId="0" borderId="32" xfId="3" applyFont="1" applyBorder="1" applyAlignment="1">
      <alignment horizontal="center" vertical="center" justifyLastLine="1"/>
    </xf>
    <xf numFmtId="0" fontId="8" fillId="0" borderId="21" xfId="3" applyFont="1" applyBorder="1" applyAlignment="1">
      <alignment horizontal="center" vertical="center" justifyLastLine="1"/>
    </xf>
    <xf numFmtId="0" fontId="8" fillId="0" borderId="32" xfId="3" applyFont="1" applyBorder="1" applyAlignment="1">
      <alignment horizontal="distributed" vertical="center" justifyLastLine="1"/>
    </xf>
    <xf numFmtId="0" fontId="8" fillId="0" borderId="21" xfId="3" applyFont="1" applyBorder="1" applyAlignment="1">
      <alignment horizontal="distributed" vertical="center" justifyLastLine="1"/>
    </xf>
    <xf numFmtId="0" fontId="8" fillId="0" borderId="20" xfId="3" applyFont="1" applyBorder="1" applyAlignment="1">
      <alignment horizontal="center" vertical="center" justifyLastLine="1"/>
    </xf>
    <xf numFmtId="0" fontId="3" fillId="0" borderId="27" xfId="3" applyFont="1" applyBorder="1" applyAlignment="1">
      <alignment horizontal="center" vertical="center"/>
    </xf>
    <xf numFmtId="0" fontId="3" fillId="0" borderId="3" xfId="3" applyFont="1" applyBorder="1" applyAlignment="1">
      <alignment horizontal="center" vertical="center"/>
    </xf>
    <xf numFmtId="0" fontId="3" fillId="0" borderId="30" xfId="3" applyFont="1" applyBorder="1" applyAlignment="1" applyProtection="1">
      <alignment horizontal="center" vertical="center"/>
      <protection locked="0"/>
    </xf>
    <xf numFmtId="38" fontId="8" fillId="0" borderId="15" xfId="3" applyNumberFormat="1" applyFont="1" applyBorder="1" applyAlignment="1" applyProtection="1">
      <alignment horizontal="center" vertical="center"/>
      <protection locked="0"/>
    </xf>
    <xf numFmtId="38" fontId="8" fillId="0" borderId="17" xfId="3" applyNumberFormat="1" applyFont="1" applyBorder="1" applyAlignment="1" applyProtection="1">
      <alignment horizontal="center" vertical="center"/>
      <protection locked="0"/>
    </xf>
    <xf numFmtId="38" fontId="9" fillId="3" borderId="5" xfId="1" applyFont="1" applyFill="1" applyBorder="1" applyAlignment="1" applyProtection="1">
      <alignment horizontal="right" vertical="center"/>
    </xf>
    <xf numFmtId="38" fontId="6" fillId="3" borderId="47" xfId="1" applyFont="1" applyFill="1" applyBorder="1" applyAlignment="1" applyProtection="1">
      <alignment horizontal="right" vertical="center"/>
    </xf>
    <xf numFmtId="38" fontId="3" fillId="3" borderId="3" xfId="3" applyNumberFormat="1" applyFont="1" applyFill="1" applyBorder="1" applyAlignment="1" applyProtection="1">
      <alignment horizontal="right" vertical="center"/>
      <protection locked="0"/>
    </xf>
    <xf numFmtId="0" fontId="8" fillId="0" borderId="21" xfId="3" applyFont="1" applyBorder="1" applyAlignment="1">
      <alignment horizontal="center" vertical="center" shrinkToFit="1"/>
    </xf>
    <xf numFmtId="0" fontId="3" fillId="0" borderId="44" xfId="3" applyFont="1" applyBorder="1" applyAlignment="1">
      <alignment horizontal="center"/>
    </xf>
    <xf numFmtId="0" fontId="3" fillId="0" borderId="43" xfId="3" applyFont="1" applyBorder="1" applyAlignment="1">
      <alignment horizontal="center"/>
    </xf>
    <xf numFmtId="0" fontId="3" fillId="0" borderId="44" xfId="3" applyFont="1" applyBorder="1" applyAlignment="1">
      <alignment horizontal="center" vertical="center"/>
    </xf>
    <xf numFmtId="0" fontId="3" fillId="0" borderId="45" xfId="3" applyFont="1" applyBorder="1" applyAlignment="1">
      <alignment horizontal="center" vertical="center"/>
    </xf>
    <xf numFmtId="0" fontId="3" fillId="0" borderId="43" xfId="3" applyFont="1" applyBorder="1" applyAlignment="1">
      <alignment horizontal="center" vertical="center"/>
    </xf>
    <xf numFmtId="0" fontId="7" fillId="0" borderId="44" xfId="3" applyFont="1" applyBorder="1" applyAlignment="1">
      <alignment horizontal="center"/>
    </xf>
    <xf numFmtId="0" fontId="7" fillId="0" borderId="43" xfId="3" applyFont="1" applyBorder="1" applyAlignment="1">
      <alignment horizontal="center"/>
    </xf>
    <xf numFmtId="0" fontId="7" fillId="0" borderId="12" xfId="3" applyFont="1" applyBorder="1" applyAlignment="1">
      <alignment horizontal="center"/>
    </xf>
    <xf numFmtId="0" fontId="7" fillId="0" borderId="35" xfId="3" applyFont="1" applyBorder="1" applyAlignment="1">
      <alignment horizontal="center"/>
    </xf>
    <xf numFmtId="0" fontId="3" fillId="0" borderId="20" xfId="3" applyFont="1" applyBorder="1" applyAlignment="1">
      <alignment horizontal="right" vertical="center"/>
    </xf>
    <xf numFmtId="0" fontId="3" fillId="0" borderId="0" xfId="3" applyFont="1" applyAlignment="1" applyProtection="1">
      <alignment horizontal="center" vertical="center"/>
      <protection locked="0"/>
    </xf>
    <xf numFmtId="0" fontId="3" fillId="0" borderId="20" xfId="3" applyFont="1" applyBorder="1" applyAlignment="1" applyProtection="1">
      <alignment horizontal="center" vertical="center"/>
      <protection locked="0"/>
    </xf>
    <xf numFmtId="38" fontId="10" fillId="3" borderId="20" xfId="3" applyNumberFormat="1" applyFont="1" applyFill="1" applyBorder="1" applyAlignment="1">
      <alignment horizontal="right" vertical="center"/>
    </xf>
    <xf numFmtId="0" fontId="12" fillId="0" borderId="7" xfId="3" applyFont="1" applyBorder="1" applyAlignment="1">
      <alignment horizontal="center" vertical="center"/>
    </xf>
    <xf numFmtId="0" fontId="12" fillId="0" borderId="0" xfId="3" applyFont="1" applyAlignment="1">
      <alignment horizontal="center" vertical="center"/>
    </xf>
    <xf numFmtId="0" fontId="8" fillId="0" borderId="47" xfId="3" applyFont="1" applyBorder="1" applyAlignment="1">
      <alignment horizontal="right" vertical="center"/>
    </xf>
    <xf numFmtId="0" fontId="8" fillId="0" borderId="0" xfId="3" applyFont="1" applyAlignment="1">
      <alignment horizontal="right" vertical="center"/>
    </xf>
    <xf numFmtId="0" fontId="3" fillId="0" borderId="7" xfId="3" applyFont="1" applyBorder="1" applyAlignment="1">
      <alignment horizontal="left" vertical="center"/>
    </xf>
    <xf numFmtId="38" fontId="3" fillId="3" borderId="0" xfId="3" applyNumberFormat="1" applyFont="1" applyFill="1" applyAlignment="1" applyProtection="1">
      <alignment horizontal="right" vertical="center"/>
      <protection locked="0"/>
    </xf>
    <xf numFmtId="0" fontId="6" fillId="0" borderId="56" xfId="3" applyFont="1" applyBorder="1" applyAlignment="1">
      <alignment horizontal="center" vertical="center"/>
    </xf>
    <xf numFmtId="0" fontId="8" fillId="0" borderId="25" xfId="3" applyFont="1" applyBorder="1" applyAlignment="1">
      <alignment horizontal="center" vertical="center"/>
    </xf>
    <xf numFmtId="38" fontId="13" fillId="3" borderId="25" xfId="3" applyNumberFormat="1" applyFont="1" applyFill="1" applyBorder="1" applyAlignment="1">
      <alignment horizontal="right" vertical="center"/>
    </xf>
    <xf numFmtId="38" fontId="9" fillId="3" borderId="22" xfId="3" applyNumberFormat="1" applyFont="1" applyFill="1" applyBorder="1" applyAlignment="1">
      <alignment horizontal="right" vertical="center"/>
    </xf>
    <xf numFmtId="38" fontId="9" fillId="3" borderId="23" xfId="3" applyNumberFormat="1" applyFont="1" applyFill="1" applyBorder="1" applyAlignment="1">
      <alignment horizontal="right" vertical="center"/>
    </xf>
    <xf numFmtId="0" fontId="3" fillId="0" borderId="44" xfId="3" applyFont="1" applyBorder="1" applyAlignment="1">
      <alignment horizontal="center" vertical="center" wrapText="1"/>
    </xf>
    <xf numFmtId="0" fontId="3" fillId="0" borderId="45" xfId="3" applyFont="1" applyBorder="1" applyAlignment="1">
      <alignment horizontal="center" vertical="center" wrapText="1"/>
    </xf>
    <xf numFmtId="0" fontId="3" fillId="0" borderId="43" xfId="3" applyFont="1" applyBorder="1" applyAlignment="1">
      <alignment horizontal="center" vertical="center" wrapText="1"/>
    </xf>
    <xf numFmtId="0" fontId="3" fillId="0" borderId="1" xfId="3" applyFont="1" applyBorder="1" applyAlignment="1">
      <alignment horizontal="center" vertical="center" wrapText="1"/>
    </xf>
    <xf numFmtId="0" fontId="3" fillId="0" borderId="0" xfId="3" applyFont="1" applyAlignment="1">
      <alignment horizontal="center" vertical="center" wrapText="1"/>
    </xf>
    <xf numFmtId="0" fontId="3" fillId="0" borderId="24" xfId="3" applyFont="1" applyBorder="1" applyAlignment="1">
      <alignment horizontal="center" vertical="center" wrapText="1"/>
    </xf>
    <xf numFmtId="0" fontId="3" fillId="0" borderId="12" xfId="3" applyFont="1" applyBorder="1" applyAlignment="1">
      <alignment horizontal="center" vertical="center" wrapText="1"/>
    </xf>
    <xf numFmtId="0" fontId="3" fillId="0" borderId="5" xfId="3" applyFont="1" applyBorder="1" applyAlignment="1">
      <alignment horizontal="center" vertical="center" wrapText="1"/>
    </xf>
    <xf numFmtId="0" fontId="3" fillId="0" borderId="35" xfId="3" applyFont="1" applyBorder="1" applyAlignment="1">
      <alignment horizontal="center" vertical="center" wrapText="1"/>
    </xf>
    <xf numFmtId="0" fontId="3" fillId="0" borderId="1" xfId="3" applyFont="1" applyBorder="1" applyAlignment="1" applyProtection="1">
      <alignment horizontal="left" vertical="center"/>
      <protection locked="0"/>
    </xf>
    <xf numFmtId="0" fontId="3" fillId="0" borderId="0" xfId="3" applyFont="1" applyAlignment="1" applyProtection="1">
      <alignment horizontal="left" vertical="center"/>
      <protection locked="0"/>
    </xf>
    <xf numFmtId="0" fontId="4" fillId="0" borderId="0" xfId="3" applyFont="1" applyAlignment="1" applyProtection="1">
      <alignment horizontal="left" vertical="center"/>
      <protection locked="0"/>
    </xf>
    <xf numFmtId="0" fontId="4" fillId="0" borderId="1" xfId="3" applyFont="1" applyBorder="1" applyAlignment="1" applyProtection="1">
      <alignment horizontal="left" vertical="center"/>
      <protection locked="0"/>
    </xf>
    <xf numFmtId="0" fontId="4" fillId="0" borderId="12" xfId="3" applyFont="1" applyBorder="1" applyAlignment="1" applyProtection="1">
      <alignment horizontal="left" vertical="center"/>
      <protection locked="0"/>
    </xf>
    <xf numFmtId="0" fontId="4" fillId="0" borderId="5" xfId="3" applyFont="1" applyBorder="1" applyAlignment="1" applyProtection="1">
      <alignment horizontal="left" vertical="center"/>
      <protection locked="0"/>
    </xf>
    <xf numFmtId="38" fontId="9" fillId="3" borderId="56" xfId="3" applyNumberFormat="1" applyFont="1" applyFill="1" applyBorder="1" applyAlignment="1">
      <alignment horizontal="right" vertical="center"/>
    </xf>
    <xf numFmtId="0" fontId="3" fillId="0" borderId="34" xfId="3" applyFont="1" applyBorder="1" applyAlignment="1" applyProtection="1">
      <alignment horizontal="left" vertical="center"/>
      <protection locked="0"/>
    </xf>
    <xf numFmtId="0" fontId="3" fillId="0" borderId="5" xfId="3" applyFont="1" applyBorder="1" applyAlignment="1" applyProtection="1">
      <alignment horizontal="left" vertical="center"/>
      <protection locked="0"/>
    </xf>
    <xf numFmtId="0" fontId="3" fillId="0" borderId="6" xfId="3" applyFont="1" applyBorder="1" applyAlignment="1" applyProtection="1">
      <alignment horizontal="left" vertical="center"/>
      <protection locked="0"/>
    </xf>
    <xf numFmtId="0" fontId="3" fillId="0" borderId="7" xfId="3" applyFont="1" applyBorder="1" applyAlignment="1" applyProtection="1">
      <alignment horizontal="center" vertical="center" wrapText="1"/>
      <protection locked="0"/>
    </xf>
    <xf numFmtId="0" fontId="3" fillId="0" borderId="0" xfId="3" applyFont="1" applyAlignment="1" applyProtection="1">
      <alignment horizontal="center" vertical="center" wrapText="1"/>
      <protection locked="0"/>
    </xf>
    <xf numFmtId="0" fontId="3" fillId="0" borderId="4" xfId="3" applyFont="1" applyBorder="1" applyAlignment="1" applyProtection="1">
      <alignment horizontal="center" vertical="center" wrapText="1"/>
      <protection locked="0"/>
    </xf>
    <xf numFmtId="0" fontId="30" fillId="0" borderId="7" xfId="3" applyFont="1" applyBorder="1" applyAlignment="1">
      <alignment horizontal="left" wrapText="1"/>
    </xf>
    <xf numFmtId="0" fontId="30" fillId="0" borderId="0" xfId="3" applyFont="1" applyAlignment="1">
      <alignment horizontal="left" wrapText="1"/>
    </xf>
    <xf numFmtId="0" fontId="30" fillId="0" borderId="4" xfId="3" applyFont="1" applyBorder="1" applyAlignment="1">
      <alignment horizontal="left" wrapText="1"/>
    </xf>
    <xf numFmtId="0" fontId="3" fillId="0" borderId="7" xfId="3" applyFont="1" applyBorder="1" applyAlignment="1" applyProtection="1">
      <alignment horizontal="center" vertical="center"/>
      <protection locked="0"/>
    </xf>
    <xf numFmtId="0" fontId="3" fillId="0" borderId="4" xfId="3" applyFont="1" applyBorder="1" applyAlignment="1" applyProtection="1">
      <alignment horizontal="center" vertical="center"/>
      <protection locked="0"/>
    </xf>
    <xf numFmtId="0" fontId="6" fillId="0" borderId="11" xfId="3" applyFont="1" applyBorder="1" applyAlignment="1">
      <alignment horizontal="center" vertical="center"/>
    </xf>
    <xf numFmtId="0" fontId="6" fillId="0" borderId="10" xfId="3" applyFont="1" applyBorder="1" applyAlignment="1">
      <alignment horizontal="center" vertical="center"/>
    </xf>
    <xf numFmtId="0" fontId="3" fillId="0" borderId="0" xfId="3" applyFont="1" applyAlignment="1" applyProtection="1">
      <alignment horizontal="right" vertical="center"/>
      <protection locked="0"/>
    </xf>
    <xf numFmtId="0" fontId="14" fillId="0" borderId="25" xfId="3" applyFont="1" applyBorder="1" applyAlignment="1">
      <alignment horizontal="center" vertical="center"/>
    </xf>
    <xf numFmtId="0" fontId="30" fillId="0" borderId="7" xfId="3" applyFont="1" applyBorder="1" applyAlignment="1">
      <alignment horizontal="left"/>
    </xf>
    <xf numFmtId="0" fontId="30" fillId="0" borderId="0" xfId="3" applyFont="1" applyAlignment="1">
      <alignment horizontal="left"/>
    </xf>
    <xf numFmtId="0" fontId="30" fillId="0" borderId="4" xfId="3" applyFont="1" applyBorder="1" applyAlignment="1">
      <alignment horizontal="left"/>
    </xf>
    <xf numFmtId="0" fontId="30" fillId="0" borderId="53" xfId="3" applyFont="1" applyBorder="1" applyAlignment="1">
      <alignment horizontal="left"/>
    </xf>
    <xf numFmtId="0" fontId="30" fillId="0" borderId="54" xfId="3" applyFont="1" applyBorder="1" applyAlignment="1">
      <alignment horizontal="left"/>
    </xf>
    <xf numFmtId="0" fontId="30" fillId="0" borderId="55" xfId="3" applyFont="1" applyBorder="1" applyAlignment="1">
      <alignment horizontal="left"/>
    </xf>
    <xf numFmtId="0" fontId="3" fillId="0" borderId="57" xfId="3" applyFont="1" applyBorder="1" applyAlignment="1" applyProtection="1">
      <alignment horizontal="center" vertical="center"/>
      <protection locked="0"/>
    </xf>
    <xf numFmtId="0" fontId="3" fillId="0" borderId="10" xfId="3" applyFont="1" applyBorder="1" applyAlignment="1" applyProtection="1">
      <alignment horizontal="center" vertical="center"/>
      <protection locked="0"/>
    </xf>
    <xf numFmtId="0" fontId="3" fillId="0" borderId="49" xfId="3" applyFont="1" applyBorder="1" applyAlignment="1" applyProtection="1">
      <alignment horizontal="center" vertical="center"/>
      <protection locked="0"/>
    </xf>
    <xf numFmtId="0" fontId="3" fillId="0" borderId="45" xfId="3" applyFont="1" applyBorder="1" applyAlignment="1" applyProtection="1">
      <alignment horizontal="left" vertical="center"/>
      <protection locked="0"/>
    </xf>
    <xf numFmtId="0" fontId="3" fillId="0" borderId="43" xfId="3" applyFont="1" applyBorder="1" applyAlignment="1" applyProtection="1">
      <alignment horizontal="left" vertical="center"/>
      <protection locked="0"/>
    </xf>
    <xf numFmtId="0" fontId="30" fillId="0" borderId="7" xfId="3" applyFont="1" applyBorder="1" applyAlignment="1">
      <alignment horizontal="left" vertical="center"/>
    </xf>
    <xf numFmtId="0" fontId="30" fillId="0" borderId="0" xfId="3" applyFont="1" applyAlignment="1">
      <alignment horizontal="left" vertical="center"/>
    </xf>
    <xf numFmtId="0" fontId="3" fillId="0" borderId="57" xfId="3" applyFont="1" applyBorder="1" applyAlignment="1" applyProtection="1">
      <alignment horizontal="left" vertical="center"/>
      <protection locked="0"/>
    </xf>
    <xf numFmtId="0" fontId="3" fillId="0" borderId="10" xfId="3" applyFont="1" applyBorder="1" applyAlignment="1" applyProtection="1">
      <alignment horizontal="left" vertical="center"/>
      <protection locked="0"/>
    </xf>
    <xf numFmtId="0" fontId="3" fillId="0" borderId="49" xfId="3" applyFont="1" applyBorder="1" applyAlignment="1" applyProtection="1">
      <alignment horizontal="left" vertical="center"/>
      <protection locked="0"/>
    </xf>
    <xf numFmtId="0" fontId="22" fillId="0" borderId="30" xfId="3" applyFont="1" applyBorder="1" applyAlignment="1" applyProtection="1">
      <alignment horizontal="center" vertical="center"/>
      <protection locked="0"/>
    </xf>
    <xf numFmtId="0" fontId="22" fillId="0" borderId="20" xfId="3" applyFont="1" applyBorder="1" applyAlignment="1" applyProtection="1">
      <alignment horizontal="center" vertical="center"/>
      <protection locked="0"/>
    </xf>
    <xf numFmtId="0" fontId="22" fillId="0" borderId="7" xfId="3" applyFont="1" applyBorder="1" applyAlignment="1" applyProtection="1">
      <alignment horizontal="center" vertical="center" wrapText="1"/>
      <protection locked="0"/>
    </xf>
    <xf numFmtId="0" fontId="22" fillId="0" borderId="0" xfId="3" applyFont="1" applyAlignment="1" applyProtection="1">
      <alignment horizontal="center" vertical="center" wrapText="1"/>
      <protection locked="0"/>
    </xf>
    <xf numFmtId="0" fontId="22" fillId="0" borderId="4" xfId="3" applyFont="1" applyBorder="1" applyAlignment="1" applyProtection="1">
      <alignment horizontal="center" vertical="center" wrapText="1"/>
      <protection locked="0"/>
    </xf>
    <xf numFmtId="0" fontId="30" fillId="0" borderId="7" xfId="3" applyFont="1" applyBorder="1" applyAlignment="1" applyProtection="1">
      <alignment horizontal="left" wrapText="1"/>
      <protection locked="0"/>
    </xf>
    <xf numFmtId="0" fontId="30" fillId="0" borderId="0" xfId="3" applyFont="1" applyAlignment="1" applyProtection="1">
      <alignment horizontal="left" wrapText="1"/>
      <protection locked="0"/>
    </xf>
    <xf numFmtId="0" fontId="30" fillId="0" borderId="4" xfId="3" applyFont="1" applyBorder="1" applyAlignment="1" applyProtection="1">
      <alignment horizontal="left" wrapText="1"/>
      <protection locked="0"/>
    </xf>
    <xf numFmtId="0" fontId="30" fillId="0" borderId="53" xfId="3" applyFont="1" applyBorder="1" applyAlignment="1" applyProtection="1">
      <alignment horizontal="left"/>
      <protection locked="0"/>
    </xf>
    <xf numFmtId="0" fontId="30" fillId="0" borderId="54" xfId="3" applyFont="1" applyBorder="1" applyAlignment="1" applyProtection="1">
      <alignment horizontal="left"/>
      <protection locked="0"/>
    </xf>
    <xf numFmtId="0" fontId="30" fillId="0" borderId="55" xfId="3" applyFont="1" applyBorder="1" applyAlignment="1" applyProtection="1">
      <alignment horizontal="left"/>
      <protection locked="0"/>
    </xf>
    <xf numFmtId="38" fontId="22" fillId="0" borderId="8" xfId="1" applyFont="1" applyFill="1" applyBorder="1" applyAlignment="1" applyProtection="1">
      <alignment horizontal="right" vertical="center"/>
      <protection locked="0"/>
    </xf>
    <xf numFmtId="38" fontId="22" fillId="0" borderId="13" xfId="1" applyFont="1" applyFill="1" applyBorder="1" applyAlignment="1" applyProtection="1">
      <alignment horizontal="right" vertical="center"/>
      <protection locked="0"/>
    </xf>
    <xf numFmtId="38" fontId="3" fillId="3" borderId="0" xfId="1" applyFont="1" applyFill="1" applyBorder="1" applyAlignment="1">
      <alignment horizontal="right" vertical="center"/>
    </xf>
    <xf numFmtId="0" fontId="3" fillId="0" borderId="34" xfId="3" applyFont="1" applyBorder="1" applyAlignment="1">
      <alignment horizontal="left" vertical="center"/>
    </xf>
    <xf numFmtId="0" fontId="3" fillId="0" borderId="5" xfId="3" applyFont="1" applyBorder="1" applyAlignment="1">
      <alignment horizontal="left" vertical="center"/>
    </xf>
    <xf numFmtId="0" fontId="3" fillId="0" borderId="6" xfId="3" applyFont="1" applyBorder="1" applyAlignment="1">
      <alignment horizontal="left" vertical="center"/>
    </xf>
    <xf numFmtId="38" fontId="9" fillId="3" borderId="5" xfId="1" applyFont="1" applyFill="1" applyBorder="1" applyAlignment="1">
      <alignment horizontal="right" vertical="center"/>
    </xf>
    <xf numFmtId="0" fontId="30" fillId="0" borderId="7" xfId="3" applyFont="1" applyBorder="1" applyAlignment="1" applyProtection="1">
      <alignment horizontal="left"/>
      <protection locked="0"/>
    </xf>
    <xf numFmtId="0" fontId="30" fillId="0" borderId="0" xfId="3" applyFont="1" applyAlignment="1" applyProtection="1">
      <alignment horizontal="left"/>
      <protection locked="0"/>
    </xf>
    <xf numFmtId="0" fontId="30" fillId="0" borderId="4" xfId="3" applyFont="1" applyBorder="1" applyAlignment="1" applyProtection="1">
      <alignment horizontal="left"/>
      <protection locked="0"/>
    </xf>
    <xf numFmtId="38" fontId="22" fillId="0" borderId="15" xfId="1" applyFont="1" applyFill="1" applyBorder="1" applyAlignment="1" applyProtection="1">
      <alignment horizontal="right" vertical="center"/>
      <protection locked="0"/>
    </xf>
    <xf numFmtId="38" fontId="22" fillId="0" borderId="17" xfId="1" applyFont="1" applyFill="1" applyBorder="1" applyAlignment="1" applyProtection="1">
      <alignment horizontal="right" vertical="center"/>
      <protection locked="0"/>
    </xf>
    <xf numFmtId="0" fontId="22" fillId="0" borderId="7" xfId="3" applyFont="1" applyBorder="1" applyAlignment="1">
      <alignment horizontal="center" vertical="center"/>
    </xf>
    <xf numFmtId="0" fontId="22" fillId="0" borderId="0" xfId="3" applyFont="1" applyAlignment="1">
      <alignment horizontal="center" vertical="center"/>
    </xf>
    <xf numFmtId="0" fontId="22" fillId="0" borderId="4" xfId="3" applyFont="1" applyBorder="1" applyAlignment="1">
      <alignment horizontal="center" vertical="center"/>
    </xf>
    <xf numFmtId="0" fontId="30" fillId="0" borderId="7" xfId="3" applyFont="1" applyBorder="1" applyAlignment="1" applyProtection="1">
      <alignment horizontal="left" vertical="center"/>
      <protection locked="0"/>
    </xf>
    <xf numFmtId="0" fontId="30" fillId="0" borderId="0" xfId="3" applyFont="1" applyAlignment="1" applyProtection="1">
      <alignment horizontal="left" vertical="center"/>
      <protection locked="0"/>
    </xf>
    <xf numFmtId="0" fontId="22" fillId="0" borderId="0" xfId="3" applyFont="1" applyAlignment="1" applyProtection="1">
      <alignment horizontal="right" vertical="center"/>
      <protection locked="0"/>
    </xf>
    <xf numFmtId="38" fontId="23" fillId="0" borderId="15" xfId="3" applyNumberFormat="1" applyFont="1" applyBorder="1" applyAlignment="1" applyProtection="1">
      <alignment horizontal="center" vertical="center"/>
      <protection locked="0"/>
    </xf>
    <xf numFmtId="38" fontId="23" fillId="0" borderId="17" xfId="3" applyNumberFormat="1" applyFont="1" applyBorder="1" applyAlignment="1" applyProtection="1">
      <alignment horizontal="center" vertical="center"/>
      <protection locked="0"/>
    </xf>
    <xf numFmtId="38" fontId="6" fillId="3" borderId="47" xfId="1" applyFont="1" applyFill="1" applyBorder="1" applyAlignment="1">
      <alignment horizontal="right" vertical="center"/>
    </xf>
    <xf numFmtId="38" fontId="22" fillId="3" borderId="0" xfId="3" applyNumberFormat="1" applyFont="1" applyFill="1" applyAlignment="1" applyProtection="1">
      <alignment horizontal="right" vertical="center"/>
      <protection locked="0"/>
    </xf>
    <xf numFmtId="0" fontId="22" fillId="0" borderId="0" xfId="3" applyFont="1" applyAlignment="1" applyProtection="1">
      <alignment horizontal="center" vertical="center"/>
      <protection locked="0"/>
    </xf>
    <xf numFmtId="0" fontId="3" fillId="0" borderId="4" xfId="3" applyFont="1" applyBorder="1" applyAlignment="1">
      <alignment horizontal="center" vertical="center"/>
    </xf>
    <xf numFmtId="0" fontId="3" fillId="0" borderId="1" xfId="3" applyFont="1" applyBorder="1" applyAlignment="1" applyProtection="1">
      <alignment horizontal="center" vertical="center"/>
      <protection locked="0"/>
    </xf>
    <xf numFmtId="0" fontId="22" fillId="0" borderId="1" xfId="3" applyFont="1" applyBorder="1" applyAlignment="1" applyProtection="1">
      <alignment horizontal="left" vertical="center"/>
      <protection locked="0"/>
    </xf>
    <xf numFmtId="0" fontId="22" fillId="0" borderId="0" xfId="3" applyFont="1" applyAlignment="1" applyProtection="1">
      <alignment horizontal="left" vertical="center"/>
      <protection locked="0"/>
    </xf>
    <xf numFmtId="0" fontId="31" fillId="0" borderId="0" xfId="3" applyFont="1" applyAlignment="1" applyProtection="1">
      <alignment horizontal="left" vertical="center"/>
      <protection locked="0"/>
    </xf>
    <xf numFmtId="38" fontId="9" fillId="3" borderId="25" xfId="1" applyFont="1" applyFill="1" applyBorder="1" applyAlignment="1">
      <alignment horizontal="right" vertical="center"/>
    </xf>
    <xf numFmtId="0" fontId="17" fillId="0" borderId="0" xfId="0" applyFont="1" applyAlignment="1">
      <alignment horizontal="center" vertical="center"/>
    </xf>
    <xf numFmtId="0" fontId="19" fillId="0" borderId="0" xfId="0" applyFont="1" applyAlignment="1">
      <alignment horizontal="left" wrapText="1"/>
    </xf>
    <xf numFmtId="0" fontId="27" fillId="0" borderId="39" xfId="0" applyFont="1" applyBorder="1" applyAlignment="1">
      <alignment horizontal="left" vertical="top" wrapText="1"/>
    </xf>
    <xf numFmtId="0" fontId="27" fillId="0" borderId="33" xfId="0" applyFont="1" applyBorder="1" applyAlignment="1">
      <alignment horizontal="left" vertical="top" wrapText="1"/>
    </xf>
    <xf numFmtId="0" fontId="27" fillId="0" borderId="41" xfId="0" applyFont="1" applyBorder="1" applyAlignment="1">
      <alignment horizontal="left" vertical="top" wrapText="1"/>
    </xf>
    <xf numFmtId="0" fontId="19" fillId="0" borderId="3" xfId="0" applyFont="1" applyBorder="1" applyAlignment="1">
      <alignment horizontal="left"/>
    </xf>
    <xf numFmtId="0" fontId="19" fillId="0" borderId="0" xfId="0" applyFont="1" applyAlignment="1">
      <alignment horizontal="left"/>
    </xf>
    <xf numFmtId="0" fontId="25" fillId="0" borderId="33" xfId="0" applyFont="1" applyBorder="1" applyAlignment="1">
      <alignment horizontal="left" vertical="top" wrapText="1"/>
    </xf>
    <xf numFmtId="0" fontId="25" fillId="0" borderId="36" xfId="0" applyFont="1" applyBorder="1" applyAlignment="1">
      <alignment horizontal="left" vertical="top" wrapText="1"/>
    </xf>
    <xf numFmtId="0" fontId="25" fillId="0" borderId="39" xfId="0" applyFont="1" applyBorder="1" applyAlignment="1">
      <alignment vertical="top" wrapText="1"/>
    </xf>
    <xf numFmtId="0" fontId="0" fillId="0" borderId="33" xfId="0" applyBorder="1" applyAlignment="1">
      <alignment vertical="top" wrapText="1"/>
    </xf>
    <xf numFmtId="0" fontId="0" fillId="0" borderId="36" xfId="0" applyBorder="1" applyAlignment="1">
      <alignment vertical="top" wrapText="1"/>
    </xf>
    <xf numFmtId="0" fontId="0" fillId="0" borderId="33" xfId="0" applyBorder="1" applyAlignment="1">
      <alignment vertical="top"/>
    </xf>
    <xf numFmtId="0" fontId="0" fillId="0" borderId="36" xfId="0" applyBorder="1" applyAlignment="1">
      <alignment vertical="top"/>
    </xf>
    <xf numFmtId="0" fontId="0" fillId="0" borderId="0" xfId="0" applyAlignment="1">
      <alignment horizontal="left" wrapText="1"/>
    </xf>
    <xf numFmtId="0" fontId="16" fillId="0" borderId="9" xfId="0" applyFont="1" applyBorder="1" applyAlignment="1">
      <alignment horizontal="center" vertical="center" shrinkToFit="1"/>
    </xf>
    <xf numFmtId="0" fontId="0" fillId="0" borderId="33" xfId="0" applyBorder="1" applyAlignment="1">
      <alignment horizontal="left" vertical="top" wrapText="1"/>
    </xf>
    <xf numFmtId="0" fontId="0" fillId="0" borderId="36" xfId="0" applyBorder="1" applyAlignment="1">
      <alignment horizontal="left" vertical="top" wrapText="1"/>
    </xf>
    <xf numFmtId="0" fontId="19" fillId="0" borderId="0" xfId="2" applyFont="1" applyAlignment="1">
      <alignment horizontal="left"/>
    </xf>
  </cellXfs>
  <cellStyles count="4">
    <cellStyle name="桁区切り" xfId="1" builtinId="6"/>
    <cellStyle name="標準" xfId="0" builtinId="0"/>
    <cellStyle name="標準_01_21" xfId="2" xr:uid="{00000000-0005-0000-0000-000002000000}"/>
    <cellStyle name="標準_CC制度物品請求書" xfId="3" xr:uid="{00000000-0005-0000-0000-000003000000}"/>
  </cellStyles>
  <dxfs count="0"/>
  <tableStyles count="0" defaultTableStyle="TableStyleMedium9" defaultPivotStyle="PivotStyleLight16"/>
  <colors>
    <mruColors>
      <color rgb="FFEBF1DE"/>
      <color rgb="FF389604"/>
      <color rgb="FF669900"/>
      <color rgb="FF99CC00"/>
      <color rgb="FF33CC33"/>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23</xdr:col>
      <xdr:colOff>95250</xdr:colOff>
      <xdr:row>6</xdr:row>
      <xdr:rowOff>133350</xdr:rowOff>
    </xdr:from>
    <xdr:to>
      <xdr:col>23</xdr:col>
      <xdr:colOff>266700</xdr:colOff>
      <xdr:row>6</xdr:row>
      <xdr:rowOff>304800</xdr:rowOff>
    </xdr:to>
    <xdr:grpSp>
      <xdr:nvGrpSpPr>
        <xdr:cNvPr id="2308" name="Group 4">
          <a:extLst>
            <a:ext uri="{FF2B5EF4-FFF2-40B4-BE49-F238E27FC236}">
              <a16:creationId xmlns:a16="http://schemas.microsoft.com/office/drawing/2014/main" id="{0033AD31-C7D1-4EC2-8097-DBE172F2ACE9}"/>
            </a:ext>
          </a:extLst>
        </xdr:cNvPr>
        <xdr:cNvGrpSpPr>
          <a:grpSpLocks/>
        </xdr:cNvGrpSpPr>
      </xdr:nvGrpSpPr>
      <xdr:grpSpPr bwMode="auto">
        <a:xfrm>
          <a:off x="7619851" y="1892270"/>
          <a:ext cx="171450" cy="171450"/>
          <a:chOff x="504" y="75"/>
          <a:chExt cx="22" cy="21"/>
        </a:xfrm>
      </xdr:grpSpPr>
      <xdr:sp macro="" textlink="">
        <xdr:nvSpPr>
          <xdr:cNvPr id="2309" name="Oval 5">
            <a:extLst>
              <a:ext uri="{FF2B5EF4-FFF2-40B4-BE49-F238E27FC236}">
                <a16:creationId xmlns:a16="http://schemas.microsoft.com/office/drawing/2014/main" id="{B4B7074B-D5C5-4895-B217-8D4FA4F6E37F}"/>
              </a:ext>
            </a:extLst>
          </xdr:cNvPr>
          <xdr:cNvSpPr>
            <a:spLocks noChangeArrowheads="1"/>
          </xdr:cNvSpPr>
        </xdr:nvSpPr>
        <xdr:spPr bwMode="auto">
          <a:xfrm>
            <a:off x="504" y="75"/>
            <a:ext cx="22" cy="21"/>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2054" name="Text Box 6">
            <a:extLst>
              <a:ext uri="{FF2B5EF4-FFF2-40B4-BE49-F238E27FC236}">
                <a16:creationId xmlns:a16="http://schemas.microsoft.com/office/drawing/2014/main" id="{897A7EAB-7485-4862-9653-211AD5B8B5F1}"/>
              </a:ext>
            </a:extLst>
          </xdr:cNvPr>
          <xdr:cNvSpPr txBox="1">
            <a:spLocks noChangeArrowheads="1"/>
          </xdr:cNvSpPr>
        </xdr:nvSpPr>
        <xdr:spPr bwMode="auto">
          <a:xfrm>
            <a:off x="506" y="79"/>
            <a:ext cx="17" cy="14"/>
          </a:xfrm>
          <a:prstGeom prst="rect">
            <a:avLst/>
          </a:prstGeom>
          <a:noFill/>
          <a:ln w="9525">
            <a:noFill/>
            <a:miter lim="800000"/>
            <a:headEnd/>
            <a:tailEnd/>
          </a:ln>
        </xdr:spPr>
        <xdr:txBody>
          <a:bodyPr vertOverflow="clip" wrap="square" lIns="0" tIns="0" rIns="0" bIns="0" anchor="t" upright="1"/>
          <a:lstStyle/>
          <a:p>
            <a:pPr algn="ctr" rtl="1">
              <a:defRPr sz="1000"/>
            </a:pPr>
            <a:r>
              <a:rPr lang="ja-JP" altLang="en-US" sz="1000" b="0" i="0" strike="noStrike">
                <a:solidFill>
                  <a:srgbClr val="000000"/>
                </a:solidFill>
                <a:latin typeface="ＭＳ Ｐ明朝"/>
                <a:ea typeface="ＭＳ Ｐ明朝"/>
              </a:rPr>
              <a:t>印</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95250</xdr:colOff>
      <xdr:row>6</xdr:row>
      <xdr:rowOff>133350</xdr:rowOff>
    </xdr:from>
    <xdr:to>
      <xdr:col>23</xdr:col>
      <xdr:colOff>266700</xdr:colOff>
      <xdr:row>6</xdr:row>
      <xdr:rowOff>304800</xdr:rowOff>
    </xdr:to>
    <xdr:grpSp>
      <xdr:nvGrpSpPr>
        <xdr:cNvPr id="2" name="Group 4">
          <a:extLst>
            <a:ext uri="{FF2B5EF4-FFF2-40B4-BE49-F238E27FC236}">
              <a16:creationId xmlns:a16="http://schemas.microsoft.com/office/drawing/2014/main" id="{B0CF6331-83DC-4860-9B76-9C4AA9B3C3AC}"/>
            </a:ext>
          </a:extLst>
        </xdr:cNvPr>
        <xdr:cNvGrpSpPr>
          <a:grpSpLocks/>
        </xdr:cNvGrpSpPr>
      </xdr:nvGrpSpPr>
      <xdr:grpSpPr bwMode="auto">
        <a:xfrm>
          <a:off x="7639050" y="1885950"/>
          <a:ext cx="171450" cy="171450"/>
          <a:chOff x="504" y="75"/>
          <a:chExt cx="22" cy="21"/>
        </a:xfrm>
      </xdr:grpSpPr>
      <xdr:sp macro="" textlink="">
        <xdr:nvSpPr>
          <xdr:cNvPr id="3" name="Oval 5">
            <a:extLst>
              <a:ext uri="{FF2B5EF4-FFF2-40B4-BE49-F238E27FC236}">
                <a16:creationId xmlns:a16="http://schemas.microsoft.com/office/drawing/2014/main" id="{665AFB7F-2C62-4E60-A9DC-4DD8EC28A8DB}"/>
              </a:ext>
            </a:extLst>
          </xdr:cNvPr>
          <xdr:cNvSpPr>
            <a:spLocks noChangeArrowheads="1"/>
          </xdr:cNvSpPr>
        </xdr:nvSpPr>
        <xdr:spPr bwMode="auto">
          <a:xfrm>
            <a:off x="504" y="75"/>
            <a:ext cx="22" cy="21"/>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 name="Text Box 6">
            <a:extLst>
              <a:ext uri="{FF2B5EF4-FFF2-40B4-BE49-F238E27FC236}">
                <a16:creationId xmlns:a16="http://schemas.microsoft.com/office/drawing/2014/main" id="{866A7296-9984-4116-9B96-12376A381051}"/>
              </a:ext>
            </a:extLst>
          </xdr:cNvPr>
          <xdr:cNvSpPr txBox="1">
            <a:spLocks noChangeArrowheads="1"/>
          </xdr:cNvSpPr>
        </xdr:nvSpPr>
        <xdr:spPr bwMode="auto">
          <a:xfrm>
            <a:off x="506" y="79"/>
            <a:ext cx="17" cy="14"/>
          </a:xfrm>
          <a:prstGeom prst="rect">
            <a:avLst/>
          </a:prstGeom>
          <a:noFill/>
          <a:ln w="9525">
            <a:noFill/>
            <a:miter lim="800000"/>
            <a:headEnd/>
            <a:tailEnd/>
          </a:ln>
        </xdr:spPr>
        <xdr:txBody>
          <a:bodyPr vertOverflow="clip" wrap="square" lIns="0" tIns="0" rIns="0" bIns="0" anchor="t" upright="1"/>
          <a:lstStyle/>
          <a:p>
            <a:pPr algn="ctr" rtl="1">
              <a:defRPr sz="1000"/>
            </a:pPr>
            <a:r>
              <a:rPr lang="ja-JP" altLang="en-US" sz="1000" b="0" i="0" strike="noStrike">
                <a:solidFill>
                  <a:srgbClr val="000000"/>
                </a:solidFill>
                <a:latin typeface="ＭＳ Ｐ明朝"/>
                <a:ea typeface="ＭＳ Ｐ明朝"/>
              </a:rPr>
              <a:t>印</a:t>
            </a:r>
          </a:p>
        </xdr:txBody>
      </xdr:sp>
    </xdr:grpSp>
    <xdr:clientData/>
  </xdr:twoCellAnchor>
  <xdr:twoCellAnchor>
    <xdr:from>
      <xdr:col>0</xdr:col>
      <xdr:colOff>57150</xdr:colOff>
      <xdr:row>4</xdr:row>
      <xdr:rowOff>9525</xdr:rowOff>
    </xdr:from>
    <xdr:to>
      <xdr:col>9</xdr:col>
      <xdr:colOff>47625</xdr:colOff>
      <xdr:row>4</xdr:row>
      <xdr:rowOff>295275</xdr:rowOff>
    </xdr:to>
    <xdr:sp macro="" textlink="">
      <xdr:nvSpPr>
        <xdr:cNvPr id="5" name="テキスト ボックス 4">
          <a:extLst>
            <a:ext uri="{FF2B5EF4-FFF2-40B4-BE49-F238E27FC236}">
              <a16:creationId xmlns:a16="http://schemas.microsoft.com/office/drawing/2014/main" id="{45CCEFFB-E4E9-49C4-BC6F-FBDF7AA3A98C}"/>
            </a:ext>
          </a:extLst>
        </xdr:cNvPr>
        <xdr:cNvSpPr txBox="1"/>
      </xdr:nvSpPr>
      <xdr:spPr>
        <a:xfrm>
          <a:off x="57150" y="1076325"/>
          <a:ext cx="2952750" cy="285750"/>
        </a:xfrm>
        <a:prstGeom prst="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ctr"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太線の枠内に入力</a:t>
          </a:r>
          <a:r>
            <a:rPr kumimoji="1" lang="ja-JP" altLang="en-US" sz="800">
              <a:solidFill>
                <a:srgbClr val="FF0000"/>
              </a:solidFill>
              <a:effectLst/>
              <a:latin typeface="游ゴシック" panose="020B0400000000000000" pitchFamily="50" charset="-128"/>
              <a:ea typeface="游ゴシック" panose="020B0400000000000000" pitchFamily="50" charset="-128"/>
              <a:cs typeface="メイリオ" pitchFamily="50" charset="-128"/>
            </a:rPr>
            <a:t>（網掛けｾﾙは自動算出）</a:t>
          </a:r>
        </a:p>
      </xdr:txBody>
    </xdr:sp>
    <xdr:clientData/>
  </xdr:twoCellAnchor>
  <xdr:twoCellAnchor>
    <xdr:from>
      <xdr:col>14</xdr:col>
      <xdr:colOff>285750</xdr:colOff>
      <xdr:row>19</xdr:row>
      <xdr:rowOff>171450</xdr:rowOff>
    </xdr:from>
    <xdr:to>
      <xdr:col>17</xdr:col>
      <xdr:colOff>228600</xdr:colOff>
      <xdr:row>23</xdr:row>
      <xdr:rowOff>133350</xdr:rowOff>
    </xdr:to>
    <xdr:cxnSp macro="">
      <xdr:nvCxnSpPr>
        <xdr:cNvPr id="7" name="直線矢印コネクタ 6">
          <a:extLst>
            <a:ext uri="{FF2B5EF4-FFF2-40B4-BE49-F238E27FC236}">
              <a16:creationId xmlns:a16="http://schemas.microsoft.com/office/drawing/2014/main" id="{18D5C339-A821-46C0-8B84-D111AAF49BEB}"/>
            </a:ext>
          </a:extLst>
        </xdr:cNvPr>
        <xdr:cNvCxnSpPr/>
      </xdr:nvCxnSpPr>
      <xdr:spPr bwMode="auto">
        <a:xfrm flipH="1">
          <a:off x="5048250" y="5172075"/>
          <a:ext cx="742950" cy="1047750"/>
        </a:xfrm>
        <a:prstGeom prst="straightConnector1">
          <a:avLst/>
        </a:prstGeom>
        <a:ln w="3175">
          <a:solidFill>
            <a:srgbClr val="00B050"/>
          </a:solidFill>
          <a:prstDash val="sysDot"/>
          <a:headEnd type="none" w="med" len="med"/>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142875</xdr:colOff>
      <xdr:row>28</xdr:row>
      <xdr:rowOff>114300</xdr:rowOff>
    </xdr:from>
    <xdr:to>
      <xdr:col>13</xdr:col>
      <xdr:colOff>180975</xdr:colOff>
      <xdr:row>33</xdr:row>
      <xdr:rowOff>114300</xdr:rowOff>
    </xdr:to>
    <xdr:sp macro="" textlink="">
      <xdr:nvSpPr>
        <xdr:cNvPr id="9" name="テキスト ボックス 8">
          <a:extLst>
            <a:ext uri="{FF2B5EF4-FFF2-40B4-BE49-F238E27FC236}">
              <a16:creationId xmlns:a16="http://schemas.microsoft.com/office/drawing/2014/main" id="{8C3D0520-FF8C-4364-84B4-B74BAC9AD0A7}"/>
            </a:ext>
          </a:extLst>
        </xdr:cNvPr>
        <xdr:cNvSpPr txBox="1"/>
      </xdr:nvSpPr>
      <xdr:spPr>
        <a:xfrm>
          <a:off x="142875" y="7391400"/>
          <a:ext cx="4495800" cy="1181100"/>
        </a:xfrm>
        <a:prstGeom prst="rect">
          <a:avLst/>
        </a:prstGeom>
        <a:solidFill>
          <a:srgbClr val="EBF1DE"/>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ts val="1500"/>
            </a:lnSpc>
            <a:spcBef>
              <a:spcPts val="0"/>
            </a:spcBef>
            <a:spcAft>
              <a:spcPts val="0"/>
            </a:spcAft>
            <a:buClrTx/>
            <a:buSzTx/>
            <a:buFontTx/>
            <a:buNone/>
            <a:tabLst/>
            <a:defRPr/>
          </a:pPr>
          <a:r>
            <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a:t>
          </a: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交通費</a:t>
          </a:r>
          <a:r>
            <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b="1">
              <a:solidFill>
                <a:srgbClr val="FF0000"/>
              </a:solidFill>
              <a:effectLst/>
              <a:latin typeface="游ゴシック" panose="020B0400000000000000" pitchFamily="50" charset="-128"/>
              <a:ea typeface="游ゴシック" panose="020B0400000000000000" pitchFamily="50" charset="-128"/>
              <a:cs typeface="メイリオ" pitchFamily="50" charset="-128"/>
            </a:rPr>
            <a:t>学内勤務通勤時の公共交通機関利用料金</a:t>
          </a:r>
          <a:endParaRPr kumimoji="1" lang="en-US" altLang="ja-JP" sz="1000" b="1">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　＊本学学生は、</a:t>
          </a:r>
          <a:r>
            <a:rPr kumimoji="1" lang="ja-JP" altLang="en-US" sz="1000" u="sng">
              <a:solidFill>
                <a:srgbClr val="FF0000"/>
              </a:solidFill>
              <a:effectLst/>
              <a:latin typeface="游ゴシック" panose="020B0400000000000000" pitchFamily="50" charset="-128"/>
              <a:ea typeface="游ゴシック" panose="020B0400000000000000" pitchFamily="50" charset="-128"/>
              <a:cs typeface="メイリオ" pitchFamily="50" charset="-128"/>
            </a:rPr>
            <a:t>季節休暇中の勤務日のみ</a:t>
          </a: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対象</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　＊事前に「通勤届」提出要</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lvl="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mn-cs"/>
            </a:rPr>
            <a:t>　＊学外勤務時の交通費は「旅費」として別途申請・精算する</a:t>
          </a:r>
          <a:endParaRPr lang="ja-JP" altLang="ja-JP" sz="1000">
            <a:solidFill>
              <a:srgbClr val="FF0000"/>
            </a:solidFill>
            <a:effectLst/>
            <a:latin typeface="游ゴシック" panose="020B0400000000000000" pitchFamily="50" charset="-128"/>
            <a:ea typeface="游ゴシック" panose="020B0400000000000000"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endParaRPr kumimoji="1" lang="ja-JP" altLang="en-US" sz="900">
            <a:solidFill>
              <a:srgbClr val="FF0000"/>
            </a:solidFill>
            <a:effectLst/>
            <a:latin typeface="メイリオ" pitchFamily="50" charset="-128"/>
            <a:ea typeface="メイリオ" pitchFamily="50" charset="-128"/>
            <a:cs typeface="メイリオ" pitchFamily="50" charset="-128"/>
          </a:endParaRPr>
        </a:p>
      </xdr:txBody>
    </xdr:sp>
    <xdr:clientData/>
  </xdr:twoCellAnchor>
  <xdr:twoCellAnchor>
    <xdr:from>
      <xdr:col>5</xdr:col>
      <xdr:colOff>285750</xdr:colOff>
      <xdr:row>40</xdr:row>
      <xdr:rowOff>209550</xdr:rowOff>
    </xdr:from>
    <xdr:to>
      <xdr:col>15</xdr:col>
      <xdr:colOff>95250</xdr:colOff>
      <xdr:row>42</xdr:row>
      <xdr:rowOff>19050</xdr:rowOff>
    </xdr:to>
    <xdr:sp macro="" textlink="">
      <xdr:nvSpPr>
        <xdr:cNvPr id="11" name="テキスト ボックス 10">
          <a:extLst>
            <a:ext uri="{FF2B5EF4-FFF2-40B4-BE49-F238E27FC236}">
              <a16:creationId xmlns:a16="http://schemas.microsoft.com/office/drawing/2014/main" id="{639E363D-88FF-4079-9236-6959E44F081A}"/>
            </a:ext>
          </a:extLst>
        </xdr:cNvPr>
        <xdr:cNvSpPr txBox="1"/>
      </xdr:nvSpPr>
      <xdr:spPr>
        <a:xfrm>
          <a:off x="1914525" y="10344150"/>
          <a:ext cx="3248025" cy="304800"/>
        </a:xfrm>
        <a:prstGeom prst="rect">
          <a:avLst/>
        </a:prstGeom>
        <a:solidFill>
          <a:schemeClr val="accent3">
            <a:lumMod val="20000"/>
            <a:lumOff val="80000"/>
          </a:schemeClr>
        </a:solidFill>
        <a:ln w="12700">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本学学生の場合は、交通費支給対象日を記載する</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endPar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xdr:txBody>
    </xdr:sp>
    <xdr:clientData/>
  </xdr:twoCellAnchor>
  <xdr:twoCellAnchor>
    <xdr:from>
      <xdr:col>0</xdr:col>
      <xdr:colOff>209550</xdr:colOff>
      <xdr:row>42</xdr:row>
      <xdr:rowOff>238125</xdr:rowOff>
    </xdr:from>
    <xdr:to>
      <xdr:col>14</xdr:col>
      <xdr:colOff>238125</xdr:colOff>
      <xdr:row>45</xdr:row>
      <xdr:rowOff>50987</xdr:rowOff>
    </xdr:to>
    <xdr:sp macro="" textlink="">
      <xdr:nvSpPr>
        <xdr:cNvPr id="12" name="テキスト ボックス 11">
          <a:extLst>
            <a:ext uri="{FF2B5EF4-FFF2-40B4-BE49-F238E27FC236}">
              <a16:creationId xmlns:a16="http://schemas.microsoft.com/office/drawing/2014/main" id="{EE216D5B-E9F6-443E-A327-D0E9C60A4B2A}"/>
            </a:ext>
          </a:extLst>
        </xdr:cNvPr>
        <xdr:cNvSpPr txBox="1"/>
      </xdr:nvSpPr>
      <xdr:spPr>
        <a:xfrm>
          <a:off x="209550" y="10868025"/>
          <a:ext cx="4791075" cy="555812"/>
        </a:xfrm>
        <a:prstGeom prst="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故意・偶発にかかわらず、謝金の水増し請求は不正使用とみなされるので、</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研究者の責任において時間数を計算すること</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endPar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AE54"/>
  <sheetViews>
    <sheetView tabSelected="1" view="pageBreakPreview" topLeftCell="A14" zoomScale="213" zoomScaleNormal="100" zoomScaleSheetLayoutView="100" workbookViewId="0">
      <selection activeCell="V20" sqref="V20:W20"/>
    </sheetView>
  </sheetViews>
  <sheetFormatPr baseColWidth="10" defaultColWidth="9" defaultRowHeight="14"/>
  <cols>
    <col min="1" max="1" width="3.6640625" style="1" customWidth="1"/>
    <col min="2" max="2" width="4.1640625" style="1" customWidth="1"/>
    <col min="3" max="3" width="5.5" style="1" customWidth="1"/>
    <col min="4" max="5" width="4" style="1" customWidth="1"/>
    <col min="6" max="6" width="5.1640625" style="1" customWidth="1"/>
    <col min="7" max="8" width="4.1640625" style="1" customWidth="1"/>
    <col min="9" max="12" width="4" style="1" customWidth="1"/>
    <col min="13" max="13" width="7.6640625" style="1" customWidth="1"/>
    <col min="14" max="16" width="4" style="1" customWidth="1"/>
    <col min="17" max="17" width="2.5" style="1" customWidth="1"/>
    <col min="18" max="22" width="4.1640625" style="1" customWidth="1"/>
    <col min="23" max="23" width="5.1640625" style="1" customWidth="1"/>
    <col min="24" max="24" width="4.1640625" style="1" customWidth="1"/>
    <col min="25" max="16384" width="9" style="1"/>
  </cols>
  <sheetData>
    <row r="1" spans="1:25" ht="15.75" customHeight="1">
      <c r="A1" s="2"/>
      <c r="B1" s="2"/>
      <c r="C1" s="2"/>
      <c r="D1" s="2"/>
      <c r="E1" s="2"/>
      <c r="F1" s="2"/>
      <c r="G1" s="2"/>
      <c r="H1" s="2"/>
      <c r="I1" s="205" t="s">
        <v>5</v>
      </c>
      <c r="J1" s="205"/>
      <c r="K1" s="205"/>
      <c r="L1" s="205"/>
      <c r="M1" s="205"/>
      <c r="N1" s="205"/>
      <c r="O1" s="205"/>
      <c r="P1" s="205"/>
      <c r="Q1" s="2"/>
      <c r="R1" s="2"/>
      <c r="S1" s="2"/>
      <c r="T1" s="2"/>
      <c r="U1" s="2"/>
      <c r="V1" s="2"/>
      <c r="W1" s="2"/>
      <c r="X1" s="2"/>
    </row>
    <row r="2" spans="1:25" ht="9" customHeight="1" thickBot="1">
      <c r="I2" s="3"/>
      <c r="J2" s="3"/>
      <c r="K2" s="3"/>
      <c r="L2" s="3"/>
      <c r="M2" s="3"/>
      <c r="N2" s="3"/>
      <c r="O2" s="3"/>
      <c r="P2" s="3"/>
    </row>
    <row r="3" spans="1:25" ht="22.5" customHeight="1" thickBot="1">
      <c r="A3" s="7" t="s">
        <v>14</v>
      </c>
      <c r="B3" s="7"/>
      <c r="P3" s="130"/>
      <c r="Q3" s="131" t="s">
        <v>28</v>
      </c>
      <c r="R3" s="131"/>
      <c r="S3" s="132">
        <v>8</v>
      </c>
      <c r="T3" s="131" t="s">
        <v>2</v>
      </c>
      <c r="U3" s="132">
        <v>8</v>
      </c>
      <c r="V3" s="131" t="s">
        <v>3</v>
      </c>
      <c r="W3" s="132">
        <v>1</v>
      </c>
      <c r="X3" s="133" t="s">
        <v>4</v>
      </c>
    </row>
    <row r="4" spans="1:25" ht="36.75" customHeight="1">
      <c r="A4" s="208" t="s">
        <v>7</v>
      </c>
      <c r="B4" s="208"/>
      <c r="C4" s="208"/>
      <c r="D4" s="208"/>
      <c r="E4" s="208"/>
      <c r="F4" s="208"/>
      <c r="G4" s="208"/>
      <c r="H4" s="208"/>
      <c r="I4" s="208"/>
      <c r="J4" s="208"/>
      <c r="K4" s="208"/>
      <c r="L4" s="208"/>
      <c r="M4" s="208"/>
      <c r="N4" s="208"/>
      <c r="O4" s="208"/>
      <c r="P4" s="208"/>
      <c r="Q4" s="208"/>
      <c r="R4" s="208"/>
      <c r="S4" s="208"/>
      <c r="T4" s="208"/>
      <c r="U4" s="208"/>
      <c r="V4" s="208"/>
      <c r="W4" s="208"/>
      <c r="X4" s="208"/>
    </row>
    <row r="5" spans="1:25" ht="28.5" customHeight="1" thickBot="1">
      <c r="A5" s="159"/>
      <c r="B5" s="159"/>
      <c r="C5" s="159"/>
      <c r="D5" s="159"/>
      <c r="E5" s="159"/>
      <c r="F5" s="159"/>
      <c r="G5" s="159"/>
      <c r="H5" s="159"/>
      <c r="I5" s="159"/>
      <c r="J5" s="159"/>
      <c r="K5" s="159"/>
      <c r="L5" s="159"/>
      <c r="M5" s="159"/>
      <c r="N5" s="159"/>
      <c r="O5" s="159"/>
      <c r="P5" s="159"/>
      <c r="Q5" s="159"/>
      <c r="R5" s="159"/>
      <c r="S5" s="159"/>
      <c r="T5" s="20"/>
      <c r="U5" s="20"/>
      <c r="V5" s="20"/>
      <c r="W5" s="20"/>
      <c r="X5" s="20"/>
    </row>
    <row r="6" spans="1:25" ht="28" customHeight="1">
      <c r="A6" s="209" t="s">
        <v>6</v>
      </c>
      <c r="B6" s="224"/>
      <c r="C6" s="209" t="s">
        <v>29</v>
      </c>
      <c r="D6" s="210"/>
      <c r="E6" s="213" t="s">
        <v>15</v>
      </c>
      <c r="F6" s="214"/>
      <c r="G6" s="211" t="s">
        <v>17</v>
      </c>
      <c r="H6" s="212"/>
      <c r="I6" s="215" t="s">
        <v>16</v>
      </c>
      <c r="J6" s="212"/>
      <c r="K6" s="211" t="s">
        <v>1</v>
      </c>
      <c r="L6" s="212"/>
      <c r="O6" s="216" t="s">
        <v>9</v>
      </c>
      <c r="P6" s="217"/>
      <c r="Q6" s="217"/>
      <c r="R6" s="218" t="s">
        <v>169</v>
      </c>
      <c r="S6" s="218"/>
      <c r="T6" s="218"/>
      <c r="U6" s="218"/>
      <c r="V6" s="218"/>
      <c r="W6" s="218"/>
      <c r="X6" s="36"/>
    </row>
    <row r="7" spans="1:25" ht="28" customHeight="1">
      <c r="A7" s="225"/>
      <c r="B7" s="226"/>
      <c r="C7" s="225"/>
      <c r="D7" s="226"/>
      <c r="E7" s="225"/>
      <c r="F7" s="226"/>
      <c r="G7" s="185"/>
      <c r="H7" s="186"/>
      <c r="I7" s="185"/>
      <c r="J7" s="186"/>
      <c r="K7" s="230"/>
      <c r="L7" s="231"/>
      <c r="M7" s="4"/>
      <c r="N7" s="3"/>
      <c r="O7" s="183" t="s">
        <v>8</v>
      </c>
      <c r="P7" s="184"/>
      <c r="Q7" s="184"/>
      <c r="R7" s="236" t="s">
        <v>170</v>
      </c>
      <c r="S7" s="236"/>
      <c r="T7" s="236"/>
      <c r="U7" s="236"/>
      <c r="V7" s="236"/>
      <c r="W7" s="236"/>
      <c r="X7" s="37"/>
    </row>
    <row r="8" spans="1:25" ht="18.75" customHeight="1">
      <c r="A8" s="187"/>
      <c r="B8" s="188"/>
      <c r="C8" s="187"/>
      <c r="D8" s="188"/>
      <c r="E8" s="187"/>
      <c r="F8" s="188"/>
      <c r="G8" s="187"/>
      <c r="H8" s="188"/>
      <c r="I8" s="187"/>
      <c r="J8" s="188"/>
      <c r="K8" s="232"/>
      <c r="L8" s="233"/>
      <c r="M8" s="5"/>
      <c r="O8" s="238" t="s">
        <v>31</v>
      </c>
      <c r="P8" s="239"/>
      <c r="Q8" s="239"/>
      <c r="R8" s="236" t="s">
        <v>171</v>
      </c>
      <c r="S8" s="236"/>
      <c r="T8" s="236"/>
      <c r="U8" s="236"/>
      <c r="V8" s="236"/>
      <c r="W8" s="236"/>
      <c r="X8" s="38"/>
    </row>
    <row r="9" spans="1:25" ht="6.75" customHeight="1" thickBot="1">
      <c r="G9" s="11"/>
      <c r="H9" s="11"/>
      <c r="I9" s="11"/>
      <c r="J9" s="11"/>
      <c r="O9" s="51"/>
      <c r="P9" s="48"/>
      <c r="Q9" s="48"/>
      <c r="R9" s="168"/>
      <c r="S9" s="168"/>
      <c r="T9" s="168"/>
      <c r="U9" s="168"/>
      <c r="V9" s="168"/>
      <c r="W9" s="168"/>
      <c r="X9" s="52"/>
    </row>
    <row r="10" spans="1:25" ht="13.5" customHeight="1">
      <c r="O10" s="50"/>
      <c r="P10" s="50"/>
      <c r="Q10" s="50"/>
      <c r="R10" s="50"/>
      <c r="S10" s="8"/>
      <c r="T10" s="8"/>
      <c r="U10" s="8"/>
      <c r="V10" s="8"/>
      <c r="W10" s="8"/>
      <c r="X10" s="8"/>
    </row>
    <row r="11" spans="1:25" ht="36" customHeight="1">
      <c r="A11" s="227" t="s">
        <v>0</v>
      </c>
      <c r="B11" s="228"/>
      <c r="C11" s="229"/>
      <c r="D11" s="228" t="s">
        <v>100</v>
      </c>
      <c r="E11" s="228"/>
      <c r="F11" s="228"/>
      <c r="G11" s="228"/>
      <c r="H11" s="229"/>
      <c r="I11" s="227" t="s">
        <v>10</v>
      </c>
      <c r="J11" s="228"/>
      <c r="K11" s="228"/>
      <c r="L11" s="229"/>
      <c r="M11" s="184"/>
      <c r="N11" s="184"/>
      <c r="O11" s="184"/>
      <c r="P11" s="136"/>
      <c r="Q11" s="184"/>
      <c r="R11" s="184"/>
      <c r="S11" s="184"/>
      <c r="T11" s="184"/>
      <c r="U11" s="184"/>
      <c r="V11" s="184"/>
      <c r="W11" s="184"/>
      <c r="X11" s="6"/>
      <c r="Y11" s="11"/>
    </row>
    <row r="12" spans="1:25" ht="36" customHeight="1">
      <c r="A12" s="197" t="s">
        <v>25</v>
      </c>
      <c r="B12" s="198"/>
      <c r="C12" s="199"/>
      <c r="D12" s="39"/>
      <c r="E12" s="237">
        <f>SUM(V41,V44)</f>
        <v>45435</v>
      </c>
      <c r="F12" s="237"/>
      <c r="G12" s="237"/>
      <c r="H12" s="237"/>
      <c r="I12" s="39" t="s">
        <v>13</v>
      </c>
      <c r="J12" s="158" t="s">
        <v>27</v>
      </c>
      <c r="K12" s="234" t="s">
        <v>36</v>
      </c>
      <c r="L12" s="234"/>
      <c r="M12" s="234"/>
      <c r="N12" s="206">
        <f>SUM(V45)</f>
        <v>44044</v>
      </c>
      <c r="O12" s="206"/>
      <c r="P12" s="40" t="s">
        <v>26</v>
      </c>
      <c r="Q12" s="234" t="s">
        <v>21</v>
      </c>
      <c r="R12" s="234"/>
      <c r="S12" s="206">
        <f>SUM(V42)</f>
        <v>1391</v>
      </c>
      <c r="T12" s="206"/>
      <c r="U12" s="41" t="s">
        <v>13</v>
      </c>
      <c r="V12" s="40" t="s">
        <v>24</v>
      </c>
      <c r="W12" s="160"/>
      <c r="X12" s="42"/>
    </row>
    <row r="13" spans="1:25" ht="9.75" customHeight="1">
      <c r="A13" s="136"/>
      <c r="B13" s="136"/>
      <c r="C13" s="136"/>
      <c r="D13" s="6"/>
      <c r="E13" s="6"/>
      <c r="F13" s="9"/>
      <c r="G13" s="10"/>
      <c r="H13" s="10"/>
      <c r="I13" s="10"/>
      <c r="J13" s="10"/>
      <c r="K13" s="6"/>
      <c r="L13" s="6"/>
      <c r="M13" s="136"/>
      <c r="N13" s="136"/>
      <c r="O13" s="136"/>
      <c r="P13" s="136"/>
      <c r="Q13" s="136"/>
      <c r="R13" s="136"/>
      <c r="S13" s="136"/>
      <c r="T13" s="136"/>
      <c r="U13" s="136"/>
      <c r="V13" s="136"/>
      <c r="W13" s="136"/>
      <c r="X13" s="6"/>
    </row>
    <row r="14" spans="1:25" ht="11.25" customHeight="1">
      <c r="A14" s="6"/>
      <c r="B14" s="6"/>
      <c r="C14" s="6"/>
      <c r="D14" s="6"/>
      <c r="E14" s="6"/>
      <c r="F14" s="6"/>
      <c r="G14" s="6"/>
      <c r="H14" s="6"/>
      <c r="I14" s="6"/>
      <c r="J14" s="6"/>
      <c r="K14" s="6"/>
      <c r="L14" s="6"/>
      <c r="M14" s="6"/>
      <c r="N14" s="6"/>
      <c r="O14" s="6"/>
      <c r="P14" s="6"/>
      <c r="Q14" s="6"/>
      <c r="R14" s="6"/>
      <c r="S14" s="6"/>
      <c r="T14" s="6"/>
      <c r="U14" s="6"/>
      <c r="V14" s="6"/>
      <c r="W14" s="6"/>
      <c r="X14" s="6"/>
    </row>
    <row r="15" spans="1:25" ht="20" customHeight="1">
      <c r="A15" s="197" t="s">
        <v>11</v>
      </c>
      <c r="B15" s="198"/>
      <c r="C15" s="198"/>
      <c r="D15" s="198"/>
      <c r="E15" s="198"/>
      <c r="F15" s="198"/>
      <c r="G15" s="198"/>
      <c r="H15" s="198"/>
      <c r="I15" s="198"/>
      <c r="J15" s="198"/>
      <c r="K15" s="198"/>
      <c r="L15" s="198"/>
      <c r="M15" s="198"/>
      <c r="N15" s="198"/>
      <c r="O15" s="198"/>
      <c r="P15" s="198"/>
      <c r="Q15" s="198"/>
      <c r="R15" s="198"/>
      <c r="S15" s="198"/>
      <c r="T15" s="198"/>
      <c r="U15" s="198"/>
      <c r="V15" s="198"/>
      <c r="W15" s="198"/>
      <c r="X15" s="199"/>
    </row>
    <row r="16" spans="1:25" ht="20" customHeight="1" thickBot="1">
      <c r="A16" s="194" t="s">
        <v>160</v>
      </c>
      <c r="B16" s="195"/>
      <c r="C16" s="195"/>
      <c r="D16" s="195"/>
      <c r="E16" s="195"/>
      <c r="F16" s="196"/>
      <c r="G16" s="194" t="s">
        <v>161</v>
      </c>
      <c r="H16" s="195"/>
      <c r="I16" s="195"/>
      <c r="J16" s="195"/>
      <c r="K16" s="195"/>
      <c r="L16" s="195"/>
      <c r="M16" s="195"/>
      <c r="N16" s="195"/>
      <c r="O16" s="195"/>
      <c r="P16" s="195"/>
      <c r="Q16" s="195"/>
      <c r="R16" s="195"/>
      <c r="S16" s="194" t="s">
        <v>12</v>
      </c>
      <c r="T16" s="195"/>
      <c r="U16" s="195"/>
      <c r="V16" s="195"/>
      <c r="W16" s="195"/>
      <c r="X16" s="196"/>
    </row>
    <row r="17" spans="1:24" ht="21" customHeight="1" thickTop="1" thickBot="1">
      <c r="A17" s="283" t="s">
        <v>157</v>
      </c>
      <c r="B17" s="284"/>
      <c r="C17" s="284"/>
      <c r="D17" s="284"/>
      <c r="E17" s="284"/>
      <c r="F17" s="285"/>
      <c r="G17" s="191" t="s">
        <v>41</v>
      </c>
      <c r="H17" s="191"/>
      <c r="I17" s="189">
        <v>1330</v>
      </c>
      <c r="J17" s="190"/>
      <c r="K17" s="136" t="s">
        <v>18</v>
      </c>
      <c r="L17" s="136" t="s">
        <v>19</v>
      </c>
      <c r="M17" s="154">
        <v>30</v>
      </c>
      <c r="N17" s="203" t="s">
        <v>20</v>
      </c>
      <c r="O17" s="203"/>
      <c r="P17" s="156"/>
      <c r="Q17" s="6"/>
      <c r="R17" s="6"/>
      <c r="S17" s="14"/>
      <c r="T17" s="6"/>
      <c r="U17" s="169"/>
      <c r="V17" s="204">
        <f>ROUND(I17*M17,0)</f>
        <v>39900</v>
      </c>
      <c r="W17" s="204"/>
      <c r="X17" s="170"/>
    </row>
    <row r="18" spans="1:24" ht="22.5" customHeight="1">
      <c r="A18" s="268" t="s">
        <v>172</v>
      </c>
      <c r="B18" s="269"/>
      <c r="C18" s="269"/>
      <c r="D18" s="269"/>
      <c r="E18" s="269"/>
      <c r="F18" s="270"/>
      <c r="G18" s="207" t="s">
        <v>21</v>
      </c>
      <c r="H18" s="207"/>
      <c r="I18" s="223">
        <f>SUM(V17)</f>
        <v>39900</v>
      </c>
      <c r="J18" s="223"/>
      <c r="K18" s="6" t="s">
        <v>18</v>
      </c>
      <c r="L18" s="136" t="s">
        <v>19</v>
      </c>
      <c r="M18" s="235">
        <v>3.0630000000000002</v>
      </c>
      <c r="N18" s="235"/>
      <c r="O18" s="6" t="s">
        <v>22</v>
      </c>
      <c r="P18" s="6"/>
      <c r="Q18" s="6"/>
      <c r="R18" s="6"/>
      <c r="S18" s="14"/>
      <c r="T18" s="6"/>
      <c r="U18" s="17" t="s">
        <v>23</v>
      </c>
      <c r="V18" s="193">
        <f>ROUNDDOWN(I18*M18*0.01,0)</f>
        <v>1222</v>
      </c>
      <c r="W18" s="193"/>
      <c r="X18" s="150"/>
    </row>
    <row r="19" spans="1:24" ht="11.25" customHeight="1">
      <c r="A19" s="271" t="s">
        <v>158</v>
      </c>
      <c r="B19" s="272"/>
      <c r="C19" s="272"/>
      <c r="D19" s="272"/>
      <c r="E19" s="272"/>
      <c r="F19" s="273"/>
      <c r="G19" s="157"/>
      <c r="H19" s="157"/>
      <c r="I19" s="171"/>
      <c r="J19" s="171"/>
      <c r="K19" s="6"/>
      <c r="L19" s="136"/>
      <c r="M19" s="136"/>
      <c r="N19" s="136"/>
      <c r="O19" s="6"/>
      <c r="P19" s="6"/>
      <c r="Q19" s="6"/>
      <c r="R19" s="6"/>
      <c r="S19" s="43"/>
      <c r="T19" s="163"/>
      <c r="U19" s="163"/>
      <c r="V19" s="164"/>
      <c r="W19" s="164"/>
      <c r="X19" s="150"/>
    </row>
    <row r="20" spans="1:24" ht="24" customHeight="1" thickBot="1">
      <c r="A20" s="274" t="s">
        <v>173</v>
      </c>
      <c r="B20" s="235"/>
      <c r="C20" s="235"/>
      <c r="D20" s="235"/>
      <c r="E20" s="235"/>
      <c r="F20" s="275"/>
      <c r="G20" s="286"/>
      <c r="H20" s="287"/>
      <c r="I20" s="235"/>
      <c r="J20" s="235"/>
      <c r="K20" s="287"/>
      <c r="L20" s="287"/>
      <c r="M20" s="235"/>
      <c r="N20" s="287"/>
      <c r="O20" s="287"/>
      <c r="P20" s="287"/>
      <c r="Q20" s="287"/>
      <c r="R20" s="288"/>
      <c r="S20" s="276" t="s">
        <v>37</v>
      </c>
      <c r="T20" s="277"/>
      <c r="U20" s="277"/>
      <c r="V20" s="192">
        <f>V17-V18</f>
        <v>38678</v>
      </c>
      <c r="W20" s="192">
        <f t="shared" ref="W20" si="0">SUM(W18-W19)</f>
        <v>0</v>
      </c>
      <c r="X20" s="151" t="s">
        <v>13</v>
      </c>
    </row>
    <row r="21" spans="1:24" ht="20.25" customHeight="1" thickBot="1">
      <c r="A21" s="291" t="s">
        <v>159</v>
      </c>
      <c r="B21" s="292"/>
      <c r="C21" s="278">
        <v>7</v>
      </c>
      <c r="D21" s="278"/>
      <c r="E21" s="278"/>
      <c r="F21" s="32" t="s">
        <v>35</v>
      </c>
      <c r="G21" s="241" t="s">
        <v>32</v>
      </c>
      <c r="H21" s="241"/>
      <c r="I21" s="219"/>
      <c r="J21" s="220"/>
      <c r="K21" s="24" t="s">
        <v>13</v>
      </c>
      <c r="L21" s="25" t="s">
        <v>19</v>
      </c>
      <c r="M21" s="35"/>
      <c r="N21" s="25" t="s">
        <v>33</v>
      </c>
      <c r="O21" s="24"/>
      <c r="P21" s="24"/>
      <c r="Q21" s="24"/>
      <c r="R21" s="24"/>
      <c r="S21" s="26"/>
      <c r="T21" s="27"/>
      <c r="U21" s="28"/>
      <c r="V21" s="222">
        <f>I21*M21</f>
        <v>0</v>
      </c>
      <c r="W21" s="222"/>
      <c r="X21" s="46"/>
    </row>
    <row r="22" spans="1:24" ht="21" customHeight="1" thickBot="1">
      <c r="A22" s="265"/>
      <c r="B22" s="266"/>
      <c r="C22" s="266"/>
      <c r="D22" s="266"/>
      <c r="E22" s="266"/>
      <c r="F22" s="267"/>
      <c r="G22" s="161"/>
      <c r="H22" s="15"/>
      <c r="I22" s="34"/>
      <c r="J22" s="34"/>
      <c r="K22" s="15"/>
      <c r="L22" s="16"/>
      <c r="M22" s="136"/>
      <c r="N22" s="16"/>
      <c r="O22" s="15"/>
      <c r="P22" s="15"/>
      <c r="Q22" s="15"/>
      <c r="R22" s="15"/>
      <c r="S22" s="29" t="s">
        <v>38</v>
      </c>
      <c r="T22" s="30"/>
      <c r="U22" s="31"/>
      <c r="V22" s="221">
        <f>SUM(V20:W21)</f>
        <v>38678</v>
      </c>
      <c r="W22" s="221"/>
      <c r="X22" s="152" t="s">
        <v>13</v>
      </c>
    </row>
    <row r="23" spans="1:24" ht="20.25" customHeight="1" thickBot="1">
      <c r="A23" s="280" t="s">
        <v>157</v>
      </c>
      <c r="B23" s="281"/>
      <c r="C23" s="281"/>
      <c r="D23" s="281"/>
      <c r="E23" s="281"/>
      <c r="F23" s="282"/>
      <c r="G23" s="191" t="s">
        <v>41</v>
      </c>
      <c r="H23" s="191"/>
      <c r="I23" s="201">
        <v>1230</v>
      </c>
      <c r="J23" s="202"/>
      <c r="K23" s="136" t="s">
        <v>18</v>
      </c>
      <c r="L23" s="136" t="s">
        <v>19</v>
      </c>
      <c r="M23" s="33">
        <v>4.5</v>
      </c>
      <c r="N23" s="203" t="s">
        <v>20</v>
      </c>
      <c r="O23" s="203"/>
      <c r="P23" s="156"/>
      <c r="Q23" s="6"/>
      <c r="R23" s="6"/>
      <c r="S23" s="14"/>
      <c r="T23" s="6"/>
      <c r="U23" s="169"/>
      <c r="V23" s="204">
        <f>ROUND(I23*M23,0)</f>
        <v>5535</v>
      </c>
      <c r="W23" s="204"/>
      <c r="X23" s="170"/>
    </row>
    <row r="24" spans="1:24" ht="20.25" customHeight="1">
      <c r="A24" s="268" t="s">
        <v>174</v>
      </c>
      <c r="B24" s="269"/>
      <c r="C24" s="269"/>
      <c r="D24" s="269"/>
      <c r="E24" s="269"/>
      <c r="F24" s="270"/>
      <c r="G24" s="207" t="s">
        <v>21</v>
      </c>
      <c r="H24" s="207"/>
      <c r="I24" s="243">
        <f>SUM(V23)</f>
        <v>5535</v>
      </c>
      <c r="J24" s="243"/>
      <c r="K24" s="6" t="s">
        <v>18</v>
      </c>
      <c r="L24" s="136" t="s">
        <v>19</v>
      </c>
      <c r="M24" s="235">
        <v>3.0630000000000002</v>
      </c>
      <c r="N24" s="235"/>
      <c r="O24" s="6" t="s">
        <v>22</v>
      </c>
      <c r="P24" s="6"/>
      <c r="Q24" s="6"/>
      <c r="R24" s="6"/>
      <c r="S24" s="14"/>
      <c r="T24" s="6"/>
      <c r="U24" s="17" t="s">
        <v>23</v>
      </c>
      <c r="V24" s="193">
        <f>ROUNDDOWN(I24*M24*0.01,0)</f>
        <v>169</v>
      </c>
      <c r="W24" s="193"/>
      <c r="X24" s="150"/>
    </row>
    <row r="25" spans="1:24" ht="12" customHeight="1">
      <c r="A25" s="271" t="s">
        <v>158</v>
      </c>
      <c r="B25" s="272"/>
      <c r="C25" s="272"/>
      <c r="D25" s="272"/>
      <c r="E25" s="272"/>
      <c r="F25" s="273"/>
      <c r="G25" s="157"/>
      <c r="H25" s="157"/>
      <c r="I25" s="171"/>
      <c r="J25" s="171"/>
      <c r="K25" s="6"/>
      <c r="L25" s="136"/>
      <c r="M25" s="136"/>
      <c r="N25" s="136"/>
      <c r="O25" s="6"/>
      <c r="P25" s="6"/>
      <c r="Q25" s="6"/>
      <c r="R25" s="6"/>
      <c r="S25" s="43"/>
      <c r="T25" s="163"/>
      <c r="U25" s="163"/>
      <c r="V25" s="164"/>
      <c r="W25" s="164"/>
      <c r="X25" s="150"/>
    </row>
    <row r="26" spans="1:24" ht="20.25" customHeight="1" thickBot="1">
      <c r="A26" s="274" t="s">
        <v>175</v>
      </c>
      <c r="B26" s="235"/>
      <c r="C26" s="235"/>
      <c r="D26" s="235"/>
      <c r="E26" s="235"/>
      <c r="F26" s="275"/>
      <c r="G26" s="293"/>
      <c r="H26" s="294"/>
      <c r="I26" s="294"/>
      <c r="J26" s="294"/>
      <c r="K26" s="294"/>
      <c r="L26" s="294"/>
      <c r="M26" s="294"/>
      <c r="N26" s="294"/>
      <c r="O26" s="294"/>
      <c r="P26" s="294"/>
      <c r="Q26" s="294"/>
      <c r="R26" s="295"/>
      <c r="S26" s="276" t="s">
        <v>37</v>
      </c>
      <c r="T26" s="277"/>
      <c r="U26" s="277"/>
      <c r="V26" s="192">
        <f>V23-V24</f>
        <v>5366</v>
      </c>
      <c r="W26" s="192">
        <f t="shared" ref="W26" si="1">SUM(W24-W25)</f>
        <v>0</v>
      </c>
      <c r="X26" s="151" t="s">
        <v>13</v>
      </c>
    </row>
    <row r="27" spans="1:24" ht="20.25" customHeight="1" thickBot="1">
      <c r="A27" s="291" t="s">
        <v>159</v>
      </c>
      <c r="B27" s="292"/>
      <c r="C27" s="278">
        <v>7</v>
      </c>
      <c r="D27" s="278"/>
      <c r="E27" s="278"/>
      <c r="F27" s="32" t="s">
        <v>35</v>
      </c>
      <c r="G27" s="240" t="s">
        <v>32</v>
      </c>
      <c r="H27" s="240"/>
      <c r="I27" s="219"/>
      <c r="J27" s="220"/>
      <c r="K27" s="24" t="s">
        <v>13</v>
      </c>
      <c r="L27" s="25" t="s">
        <v>19</v>
      </c>
      <c r="M27" s="35"/>
      <c r="N27" s="25" t="s">
        <v>33</v>
      </c>
      <c r="O27" s="24"/>
      <c r="P27" s="24"/>
      <c r="Q27" s="24"/>
      <c r="R27" s="24"/>
      <c r="S27" s="26"/>
      <c r="T27" s="27"/>
      <c r="U27" s="28"/>
      <c r="V27" s="222">
        <f>I27*M27</f>
        <v>0</v>
      </c>
      <c r="W27" s="222"/>
      <c r="X27" s="46"/>
    </row>
    <row r="28" spans="1:24" ht="20.25" customHeight="1" thickBot="1">
      <c r="A28" s="265"/>
      <c r="B28" s="266"/>
      <c r="C28" s="266"/>
      <c r="D28" s="266"/>
      <c r="E28" s="266"/>
      <c r="F28" s="267"/>
      <c r="G28" s="161"/>
      <c r="H28" s="15"/>
      <c r="I28" s="34"/>
      <c r="J28" s="34"/>
      <c r="K28" s="15"/>
      <c r="L28" s="16"/>
      <c r="M28" s="131"/>
      <c r="N28" s="16"/>
      <c r="O28" s="15"/>
      <c r="P28" s="15"/>
      <c r="Q28" s="15"/>
      <c r="R28" s="15"/>
      <c r="S28" s="29" t="s">
        <v>38</v>
      </c>
      <c r="T28" s="30"/>
      <c r="U28" s="31"/>
      <c r="V28" s="221">
        <f>SUM(V26:W27)</f>
        <v>5366</v>
      </c>
      <c r="W28" s="221"/>
      <c r="X28" s="152" t="s">
        <v>13</v>
      </c>
    </row>
    <row r="29" spans="1:24" ht="20.25" customHeight="1" thickBot="1">
      <c r="A29" s="280" t="s">
        <v>157</v>
      </c>
      <c r="B29" s="281"/>
      <c r="C29" s="281"/>
      <c r="D29" s="281"/>
      <c r="E29" s="281"/>
      <c r="F29" s="282"/>
      <c r="G29" s="191" t="s">
        <v>41</v>
      </c>
      <c r="H29" s="191"/>
      <c r="I29" s="201"/>
      <c r="J29" s="202"/>
      <c r="K29" s="136" t="s">
        <v>18</v>
      </c>
      <c r="L29" s="136" t="s">
        <v>19</v>
      </c>
      <c r="M29" s="154"/>
      <c r="N29" s="242" t="s">
        <v>20</v>
      </c>
      <c r="O29" s="203"/>
      <c r="P29" s="156"/>
      <c r="Q29" s="6"/>
      <c r="R29" s="6"/>
      <c r="S29" s="14"/>
      <c r="T29" s="6"/>
      <c r="U29" s="169"/>
      <c r="V29" s="204">
        <f>ROUND(I29*M29,0)</f>
        <v>0</v>
      </c>
      <c r="W29" s="204"/>
      <c r="X29" s="170"/>
    </row>
    <row r="30" spans="1:24" ht="20.25" customHeight="1">
      <c r="A30" s="268"/>
      <c r="B30" s="269"/>
      <c r="C30" s="269"/>
      <c r="D30" s="269"/>
      <c r="E30" s="269"/>
      <c r="F30" s="270"/>
      <c r="G30" s="207" t="s">
        <v>21</v>
      </c>
      <c r="H30" s="207"/>
      <c r="I30" s="243">
        <f>SUM(V29)</f>
        <v>0</v>
      </c>
      <c r="J30" s="243"/>
      <c r="K30" s="6" t="s">
        <v>18</v>
      </c>
      <c r="L30" s="136" t="s">
        <v>19</v>
      </c>
      <c r="M30" s="235">
        <v>3.0630000000000002</v>
      </c>
      <c r="N30" s="235"/>
      <c r="O30" s="6" t="s">
        <v>22</v>
      </c>
      <c r="P30" s="6"/>
      <c r="Q30" s="6"/>
      <c r="R30" s="6"/>
      <c r="S30" s="14"/>
      <c r="T30" s="6"/>
      <c r="U30" s="17" t="s">
        <v>23</v>
      </c>
      <c r="V30" s="193">
        <f>ROUNDDOWN(I30*M30*0.01,0)</f>
        <v>0</v>
      </c>
      <c r="W30" s="193"/>
      <c r="X30" s="150"/>
    </row>
    <row r="31" spans="1:24" ht="11.25" customHeight="1">
      <c r="A31" s="271" t="s">
        <v>158</v>
      </c>
      <c r="B31" s="272"/>
      <c r="C31" s="272"/>
      <c r="D31" s="272"/>
      <c r="E31" s="272"/>
      <c r="F31" s="273"/>
      <c r="G31" s="157"/>
      <c r="H31" s="157"/>
      <c r="I31" s="171"/>
      <c r="J31" s="171"/>
      <c r="K31" s="6"/>
      <c r="L31" s="136"/>
      <c r="M31" s="136"/>
      <c r="N31" s="136"/>
      <c r="O31" s="6"/>
      <c r="P31" s="6"/>
      <c r="Q31" s="6"/>
      <c r="R31" s="6"/>
      <c r="S31" s="43"/>
      <c r="T31" s="163"/>
      <c r="U31" s="163"/>
      <c r="V31" s="164"/>
      <c r="W31" s="164"/>
      <c r="X31" s="150"/>
    </row>
    <row r="32" spans="1:24" ht="20.25" customHeight="1" thickBot="1">
      <c r="A32" s="274"/>
      <c r="B32" s="235"/>
      <c r="C32" s="235"/>
      <c r="D32" s="235"/>
      <c r="E32" s="235"/>
      <c r="F32" s="275"/>
      <c r="G32" s="293"/>
      <c r="H32" s="294"/>
      <c r="I32" s="294"/>
      <c r="J32" s="294"/>
      <c r="K32" s="294"/>
      <c r="L32" s="294"/>
      <c r="M32" s="294"/>
      <c r="N32" s="294"/>
      <c r="O32" s="294"/>
      <c r="P32" s="294"/>
      <c r="Q32" s="294"/>
      <c r="R32" s="295"/>
      <c r="S32" s="276" t="s">
        <v>37</v>
      </c>
      <c r="T32" s="277"/>
      <c r="U32" s="277"/>
      <c r="V32" s="192">
        <f>V29-V30</f>
        <v>0</v>
      </c>
      <c r="W32" s="192">
        <f t="shared" ref="W32" si="2">SUM(W30-W31)</f>
        <v>0</v>
      </c>
      <c r="X32" s="151" t="s">
        <v>13</v>
      </c>
    </row>
    <row r="33" spans="1:24" ht="20.25" customHeight="1" thickBot="1">
      <c r="A33" s="291" t="s">
        <v>159</v>
      </c>
      <c r="B33" s="292"/>
      <c r="C33" s="278"/>
      <c r="D33" s="278"/>
      <c r="E33" s="278"/>
      <c r="F33" s="32" t="s">
        <v>35</v>
      </c>
      <c r="G33" s="240" t="s">
        <v>32</v>
      </c>
      <c r="H33" s="240"/>
      <c r="I33" s="219"/>
      <c r="J33" s="220"/>
      <c r="K33" s="24" t="s">
        <v>13</v>
      </c>
      <c r="L33" s="25" t="s">
        <v>19</v>
      </c>
      <c r="M33" s="35"/>
      <c r="N33" s="25" t="s">
        <v>33</v>
      </c>
      <c r="O33" s="24"/>
      <c r="P33" s="24"/>
      <c r="Q33" s="24"/>
      <c r="R33" s="24"/>
      <c r="S33" s="26"/>
      <c r="T33" s="27"/>
      <c r="U33" s="28"/>
      <c r="V33" s="222">
        <f>I33*M33</f>
        <v>0</v>
      </c>
      <c r="W33" s="222"/>
      <c r="X33" s="46"/>
    </row>
    <row r="34" spans="1:24" ht="20.25" customHeight="1" thickBot="1">
      <c r="A34" s="265"/>
      <c r="B34" s="266"/>
      <c r="C34" s="266"/>
      <c r="D34" s="266"/>
      <c r="E34" s="266"/>
      <c r="F34" s="267"/>
      <c r="G34" s="161"/>
      <c r="H34" s="15"/>
      <c r="I34" s="34"/>
      <c r="J34" s="34"/>
      <c r="K34" s="15"/>
      <c r="L34" s="16"/>
      <c r="M34" s="136"/>
      <c r="N34" s="16"/>
      <c r="O34" s="15"/>
      <c r="P34" s="15"/>
      <c r="Q34" s="15"/>
      <c r="R34" s="15"/>
      <c r="S34" s="29" t="s">
        <v>38</v>
      </c>
      <c r="T34" s="30"/>
      <c r="U34" s="31"/>
      <c r="V34" s="221">
        <f>SUM(V32:W33)</f>
        <v>0</v>
      </c>
      <c r="W34" s="221"/>
      <c r="X34" s="152" t="s">
        <v>13</v>
      </c>
    </row>
    <row r="35" spans="1:24" ht="20.25" customHeight="1" thickBot="1">
      <c r="A35" s="280" t="s">
        <v>157</v>
      </c>
      <c r="B35" s="281"/>
      <c r="C35" s="281"/>
      <c r="D35" s="281"/>
      <c r="E35" s="281"/>
      <c r="F35" s="282"/>
      <c r="G35" s="191" t="s">
        <v>41</v>
      </c>
      <c r="H35" s="191"/>
      <c r="I35" s="201"/>
      <c r="J35" s="202"/>
      <c r="K35" s="136" t="s">
        <v>18</v>
      </c>
      <c r="L35" s="136" t="s">
        <v>19</v>
      </c>
      <c r="M35" s="33"/>
      <c r="N35" s="203" t="s">
        <v>20</v>
      </c>
      <c r="O35" s="203"/>
      <c r="P35" s="156"/>
      <c r="Q35" s="6"/>
      <c r="R35" s="6"/>
      <c r="S35" s="14"/>
      <c r="T35" s="6"/>
      <c r="U35" s="169"/>
      <c r="V35" s="204">
        <f>ROUND(I35*M35,0)</f>
        <v>0</v>
      </c>
      <c r="W35" s="204"/>
      <c r="X35" s="170"/>
    </row>
    <row r="36" spans="1:24" ht="20.25" customHeight="1">
      <c r="A36" s="268"/>
      <c r="B36" s="269"/>
      <c r="C36" s="269"/>
      <c r="D36" s="269"/>
      <c r="E36" s="269"/>
      <c r="F36" s="270"/>
      <c r="G36" s="207" t="s">
        <v>21</v>
      </c>
      <c r="H36" s="207"/>
      <c r="I36" s="243">
        <f>SUM(V35)</f>
        <v>0</v>
      </c>
      <c r="J36" s="243"/>
      <c r="K36" s="6" t="s">
        <v>18</v>
      </c>
      <c r="L36" s="136" t="s">
        <v>19</v>
      </c>
      <c r="M36" s="235">
        <v>3.0630000000000002</v>
      </c>
      <c r="N36" s="235"/>
      <c r="O36" s="6" t="s">
        <v>22</v>
      </c>
      <c r="P36" s="6"/>
      <c r="Q36" s="6"/>
      <c r="R36" s="6"/>
      <c r="S36" s="14"/>
      <c r="T36" s="6"/>
      <c r="U36" s="17" t="s">
        <v>23</v>
      </c>
      <c r="V36" s="193">
        <f>ROUNDDOWN(I36*M36*0.01,0)</f>
        <v>0</v>
      </c>
      <c r="W36" s="193"/>
      <c r="X36" s="150"/>
    </row>
    <row r="37" spans="1:24" ht="11.25" customHeight="1">
      <c r="A37" s="271" t="s">
        <v>158</v>
      </c>
      <c r="B37" s="272"/>
      <c r="C37" s="272"/>
      <c r="D37" s="272"/>
      <c r="E37" s="272"/>
      <c r="F37" s="273"/>
      <c r="G37" s="157"/>
      <c r="H37" s="157"/>
      <c r="I37" s="171"/>
      <c r="J37" s="171"/>
      <c r="K37" s="6"/>
      <c r="L37" s="136"/>
      <c r="M37" s="136"/>
      <c r="N37" s="136"/>
      <c r="O37" s="6"/>
      <c r="P37" s="6"/>
      <c r="Q37" s="6"/>
      <c r="R37" s="6"/>
      <c r="S37" s="43"/>
      <c r="T37" s="163"/>
      <c r="U37" s="163"/>
      <c r="V37" s="164"/>
      <c r="W37" s="164"/>
      <c r="X37" s="150"/>
    </row>
    <row r="38" spans="1:24" ht="20.25" customHeight="1" thickBot="1">
      <c r="A38" s="274"/>
      <c r="B38" s="235"/>
      <c r="C38" s="235"/>
      <c r="D38" s="235"/>
      <c r="E38" s="235"/>
      <c r="F38" s="275"/>
      <c r="G38" s="293"/>
      <c r="H38" s="294"/>
      <c r="I38" s="294"/>
      <c r="J38" s="294"/>
      <c r="K38" s="294"/>
      <c r="L38" s="294"/>
      <c r="M38" s="294"/>
      <c r="N38" s="294"/>
      <c r="O38" s="294"/>
      <c r="P38" s="294"/>
      <c r="Q38" s="294"/>
      <c r="R38" s="295"/>
      <c r="S38" s="276" t="s">
        <v>37</v>
      </c>
      <c r="T38" s="277"/>
      <c r="U38" s="277"/>
      <c r="V38" s="192">
        <f>V35-V36</f>
        <v>0</v>
      </c>
      <c r="W38" s="192">
        <f t="shared" ref="W38" si="3">SUM(W36-W37)</f>
        <v>0</v>
      </c>
      <c r="X38" s="151" t="s">
        <v>13</v>
      </c>
    </row>
    <row r="39" spans="1:24" ht="20.25" customHeight="1" thickBot="1">
      <c r="A39" s="291" t="s">
        <v>159</v>
      </c>
      <c r="B39" s="292"/>
      <c r="C39" s="278"/>
      <c r="D39" s="278"/>
      <c r="E39" s="278"/>
      <c r="F39" s="32" t="s">
        <v>35</v>
      </c>
      <c r="G39" s="240" t="s">
        <v>32</v>
      </c>
      <c r="H39" s="240"/>
      <c r="I39" s="219"/>
      <c r="J39" s="220"/>
      <c r="K39" s="24" t="s">
        <v>13</v>
      </c>
      <c r="L39" s="25" t="s">
        <v>19</v>
      </c>
      <c r="M39" s="35"/>
      <c r="N39" s="25" t="s">
        <v>33</v>
      </c>
      <c r="O39" s="24"/>
      <c r="P39" s="24"/>
      <c r="Q39" s="24"/>
      <c r="R39" s="24"/>
      <c r="S39" s="26"/>
      <c r="T39" s="27"/>
      <c r="U39" s="28"/>
      <c r="V39" s="222">
        <f>I39*M39</f>
        <v>0</v>
      </c>
      <c r="W39" s="222"/>
      <c r="X39" s="46"/>
    </row>
    <row r="40" spans="1:24" ht="20.25" customHeight="1">
      <c r="A40" s="265"/>
      <c r="B40" s="266"/>
      <c r="C40" s="266"/>
      <c r="D40" s="266"/>
      <c r="E40" s="266"/>
      <c r="F40" s="267"/>
      <c r="G40" s="15"/>
      <c r="H40" s="15"/>
      <c r="I40" s="165"/>
      <c r="J40" s="165"/>
      <c r="K40" s="15"/>
      <c r="L40" s="16"/>
      <c r="M40" s="16"/>
      <c r="N40" s="16"/>
      <c r="O40" s="15"/>
      <c r="P40" s="15"/>
      <c r="Q40" s="15"/>
      <c r="R40" s="15"/>
      <c r="S40" s="29" t="s">
        <v>38</v>
      </c>
      <c r="T40" s="30"/>
      <c r="U40" s="31"/>
      <c r="V40" s="221">
        <f>SUM(V38:W39)</f>
        <v>0</v>
      </c>
      <c r="W40" s="221"/>
      <c r="X40" s="152" t="s">
        <v>13</v>
      </c>
    </row>
    <row r="41" spans="1:24" ht="19.5" customHeight="1">
      <c r="A41" s="227" t="s">
        <v>99</v>
      </c>
      <c r="B41" s="228"/>
      <c r="C41" s="289"/>
      <c r="D41" s="289"/>
      <c r="E41" s="289"/>
      <c r="F41" s="289"/>
      <c r="G41" s="289"/>
      <c r="H41" s="289"/>
      <c r="I41" s="289"/>
      <c r="J41" s="289"/>
      <c r="K41" s="289"/>
      <c r="L41" s="289"/>
      <c r="M41" s="289"/>
      <c r="N41" s="289"/>
      <c r="O41" s="290"/>
      <c r="P41" s="249" t="s">
        <v>156</v>
      </c>
      <c r="Q41" s="250"/>
      <c r="R41" s="251"/>
      <c r="S41" s="175" t="s">
        <v>45</v>
      </c>
      <c r="T41" s="176"/>
      <c r="U41" s="177"/>
      <c r="V41" s="247">
        <f>SUM(V17,V23,V29,V35)</f>
        <v>45435</v>
      </c>
      <c r="W41" s="247"/>
      <c r="X41" s="44"/>
    </row>
    <row r="42" spans="1:24" ht="19.5" customHeight="1">
      <c r="A42" s="258"/>
      <c r="B42" s="259"/>
      <c r="C42" s="260"/>
      <c r="D42" s="260"/>
      <c r="E42" s="260"/>
      <c r="F42" s="260"/>
      <c r="G42" s="260"/>
      <c r="H42" s="260"/>
      <c r="I42" s="260"/>
      <c r="J42" s="260"/>
      <c r="K42" s="260"/>
      <c r="L42" s="260"/>
      <c r="M42" s="260"/>
      <c r="N42" s="260"/>
      <c r="O42" s="260"/>
      <c r="P42" s="252"/>
      <c r="Q42" s="253"/>
      <c r="R42" s="254"/>
      <c r="S42" s="173" t="s">
        <v>44</v>
      </c>
      <c r="T42" s="174"/>
      <c r="U42" s="46" t="s">
        <v>23</v>
      </c>
      <c r="V42" s="248">
        <f>SUM(V18,V24,V30,V36)</f>
        <v>1391</v>
      </c>
      <c r="W42" s="248"/>
      <c r="X42" s="45"/>
    </row>
    <row r="43" spans="1:24" ht="19.5" customHeight="1">
      <c r="A43" s="261"/>
      <c r="B43" s="260"/>
      <c r="C43" s="260"/>
      <c r="D43" s="260"/>
      <c r="E43" s="260"/>
      <c r="F43" s="260"/>
      <c r="G43" s="260"/>
      <c r="H43" s="260"/>
      <c r="I43" s="260"/>
      <c r="J43" s="260"/>
      <c r="K43" s="260"/>
      <c r="L43" s="260"/>
      <c r="M43" s="260"/>
      <c r="N43" s="260"/>
      <c r="O43" s="260"/>
      <c r="P43" s="252"/>
      <c r="Q43" s="253"/>
      <c r="R43" s="254"/>
      <c r="S43" s="244" t="s">
        <v>34</v>
      </c>
      <c r="T43" s="244"/>
      <c r="U43" s="244"/>
      <c r="V43" s="264">
        <f>SUM(V41-V42)</f>
        <v>44044</v>
      </c>
      <c r="W43" s="264"/>
      <c r="X43" s="166" t="s">
        <v>13</v>
      </c>
    </row>
    <row r="44" spans="1:24" ht="19.5" customHeight="1">
      <c r="A44" s="261"/>
      <c r="B44" s="260"/>
      <c r="C44" s="260"/>
      <c r="D44" s="260"/>
      <c r="E44" s="260"/>
      <c r="F44" s="260"/>
      <c r="G44" s="260"/>
      <c r="H44" s="260"/>
      <c r="I44" s="260"/>
      <c r="J44" s="260"/>
      <c r="K44" s="260"/>
      <c r="L44" s="260"/>
      <c r="M44" s="260"/>
      <c r="N44" s="260"/>
      <c r="O44" s="260"/>
      <c r="P44" s="252"/>
      <c r="Q44" s="253"/>
      <c r="R44" s="254"/>
      <c r="S44" s="245" t="s">
        <v>40</v>
      </c>
      <c r="T44" s="245"/>
      <c r="U44" s="245"/>
      <c r="V44" s="246">
        <f>SUM(V21,V27,V33,V39)</f>
        <v>0</v>
      </c>
      <c r="W44" s="246"/>
      <c r="X44" s="47" t="s">
        <v>13</v>
      </c>
    </row>
    <row r="45" spans="1:24" ht="19.5" customHeight="1">
      <c r="A45" s="261"/>
      <c r="B45" s="260"/>
      <c r="C45" s="260"/>
      <c r="D45" s="260"/>
      <c r="E45" s="260"/>
      <c r="F45" s="260"/>
      <c r="G45" s="260"/>
      <c r="H45" s="260"/>
      <c r="I45" s="260"/>
      <c r="J45" s="260"/>
      <c r="K45" s="260"/>
      <c r="L45" s="260"/>
      <c r="M45" s="260"/>
      <c r="N45" s="260"/>
      <c r="O45" s="260"/>
      <c r="P45" s="252"/>
      <c r="Q45" s="253"/>
      <c r="R45" s="254"/>
      <c r="S45" s="279" t="s">
        <v>39</v>
      </c>
      <c r="T45" s="279"/>
      <c r="U45" s="279"/>
      <c r="V45" s="200">
        <f>SUM(V22,V28,V34,V40)</f>
        <v>44044</v>
      </c>
      <c r="W45" s="200"/>
      <c r="X45" s="47" t="s">
        <v>13</v>
      </c>
    </row>
    <row r="46" spans="1:24" ht="19.5" customHeight="1">
      <c r="A46" s="262"/>
      <c r="B46" s="263"/>
      <c r="C46" s="263"/>
      <c r="D46" s="263"/>
      <c r="E46" s="263"/>
      <c r="F46" s="263"/>
      <c r="G46" s="263"/>
      <c r="H46" s="263"/>
      <c r="I46" s="263"/>
      <c r="J46" s="263"/>
      <c r="K46" s="263"/>
      <c r="L46" s="263"/>
      <c r="M46" s="263"/>
      <c r="N46" s="263"/>
      <c r="O46" s="263"/>
      <c r="P46" s="255"/>
      <c r="Q46" s="256"/>
      <c r="R46" s="257"/>
      <c r="S46" s="178" t="s">
        <v>46</v>
      </c>
      <c r="T46" s="179"/>
      <c r="U46" s="180"/>
      <c r="V46" s="181">
        <f>SUM(V41,V44)</f>
        <v>45435</v>
      </c>
      <c r="W46" s="182"/>
      <c r="X46" s="47" t="s">
        <v>13</v>
      </c>
    </row>
    <row r="47" spans="1:24">
      <c r="A47" s="13" t="s">
        <v>42</v>
      </c>
      <c r="B47" s="13"/>
    </row>
    <row r="48" spans="1:24" ht="21" customHeight="1">
      <c r="A48" s="172"/>
      <c r="B48" s="172"/>
      <c r="C48" s="172"/>
      <c r="D48" s="172"/>
      <c r="E48" s="172"/>
      <c r="F48" s="172"/>
      <c r="G48" s="172"/>
      <c r="H48" s="172"/>
      <c r="I48" s="172"/>
      <c r="J48" s="172"/>
      <c r="K48" s="172"/>
      <c r="L48" s="172"/>
      <c r="M48" s="172"/>
      <c r="N48" s="172"/>
      <c r="O48" s="172"/>
      <c r="P48" s="172"/>
      <c r="Q48" s="172"/>
      <c r="R48" s="172"/>
      <c r="S48" s="172"/>
      <c r="T48" s="172"/>
      <c r="U48" s="172"/>
      <c r="V48" s="172"/>
      <c r="W48" s="172"/>
      <c r="X48" s="172"/>
    </row>
    <row r="49" spans="1:31">
      <c r="A49" s="13"/>
      <c r="B49" s="13"/>
      <c r="C49" s="13"/>
      <c r="D49" s="13"/>
      <c r="E49" s="13"/>
      <c r="F49" s="13"/>
      <c r="G49" s="13"/>
      <c r="H49" s="13"/>
      <c r="I49" s="13"/>
      <c r="J49" s="13"/>
      <c r="K49" s="13"/>
      <c r="L49" s="13"/>
      <c r="M49" s="13"/>
      <c r="N49" s="13"/>
      <c r="O49" s="13"/>
      <c r="P49" s="13"/>
      <c r="Q49" s="13"/>
      <c r="R49" s="13"/>
      <c r="S49" s="13"/>
      <c r="T49" s="19" t="s">
        <v>43</v>
      </c>
      <c r="U49" s="18"/>
      <c r="V49" s="18"/>
      <c r="W49" s="18"/>
      <c r="X49" s="18"/>
    </row>
    <row r="50" spans="1:31">
      <c r="A50" s="12"/>
      <c r="B50" s="12"/>
    </row>
    <row r="54" spans="1:31">
      <c r="I54" s="13"/>
      <c r="J54" s="13"/>
      <c r="K54" s="13"/>
      <c r="L54" s="13"/>
      <c r="M54" s="13"/>
      <c r="N54" s="13"/>
      <c r="O54" s="13"/>
      <c r="P54" s="13"/>
      <c r="Q54" s="13"/>
      <c r="R54" s="13"/>
      <c r="S54" s="13"/>
      <c r="T54" s="13"/>
      <c r="U54" s="13"/>
      <c r="V54" s="13"/>
      <c r="W54" s="13"/>
      <c r="X54" s="13"/>
      <c r="Y54" s="13"/>
      <c r="Z54" s="13"/>
      <c r="AA54" s="13"/>
      <c r="AB54" s="13"/>
      <c r="AC54" s="13"/>
      <c r="AD54" s="13"/>
      <c r="AE54" s="13"/>
    </row>
  </sheetData>
  <sheetProtection sheet="1" objects="1" scenarios="1"/>
  <mergeCells count="145">
    <mergeCell ref="G39:H39"/>
    <mergeCell ref="I39:J39"/>
    <mergeCell ref="V39:W39"/>
    <mergeCell ref="A41:B41"/>
    <mergeCell ref="C41:O41"/>
    <mergeCell ref="A21:B21"/>
    <mergeCell ref="A27:B27"/>
    <mergeCell ref="A33:B33"/>
    <mergeCell ref="A39:B39"/>
    <mergeCell ref="G26:R26"/>
    <mergeCell ref="G32:R32"/>
    <mergeCell ref="G38:R38"/>
    <mergeCell ref="G30:H30"/>
    <mergeCell ref="I30:J30"/>
    <mergeCell ref="M30:N30"/>
    <mergeCell ref="A31:F31"/>
    <mergeCell ref="S32:U32"/>
    <mergeCell ref="C33:E33"/>
    <mergeCell ref="G35:H35"/>
    <mergeCell ref="I35:J35"/>
    <mergeCell ref="N35:O35"/>
    <mergeCell ref="A28:F28"/>
    <mergeCell ref="A29:F29"/>
    <mergeCell ref="A30:F30"/>
    <mergeCell ref="A34:F34"/>
    <mergeCell ref="A35:F35"/>
    <mergeCell ref="A17:F17"/>
    <mergeCell ref="A23:F23"/>
    <mergeCell ref="A24:F24"/>
    <mergeCell ref="A32:F32"/>
    <mergeCell ref="C21:E21"/>
    <mergeCell ref="C27:E27"/>
    <mergeCell ref="G36:H36"/>
    <mergeCell ref="A18:F18"/>
    <mergeCell ref="A20:F20"/>
    <mergeCell ref="A22:F22"/>
    <mergeCell ref="A19:F19"/>
    <mergeCell ref="A25:F25"/>
    <mergeCell ref="A26:F26"/>
    <mergeCell ref="G20:R20"/>
    <mergeCell ref="I36:J36"/>
    <mergeCell ref="V36:W36"/>
    <mergeCell ref="V40:W40"/>
    <mergeCell ref="S43:U43"/>
    <mergeCell ref="S44:U44"/>
    <mergeCell ref="V44:W44"/>
    <mergeCell ref="V41:W41"/>
    <mergeCell ref="V42:W42"/>
    <mergeCell ref="P41:R46"/>
    <mergeCell ref="A42:O42"/>
    <mergeCell ref="A43:O43"/>
    <mergeCell ref="A44:O44"/>
    <mergeCell ref="A45:O45"/>
    <mergeCell ref="A46:O46"/>
    <mergeCell ref="V43:W43"/>
    <mergeCell ref="A40:F40"/>
    <mergeCell ref="A36:F36"/>
    <mergeCell ref="M36:N36"/>
    <mergeCell ref="A37:F37"/>
    <mergeCell ref="A38:F38"/>
    <mergeCell ref="S38:U38"/>
    <mergeCell ref="V38:W38"/>
    <mergeCell ref="C39:E39"/>
    <mergeCell ref="S45:U45"/>
    <mergeCell ref="V33:W33"/>
    <mergeCell ref="I33:J33"/>
    <mergeCell ref="G33:H33"/>
    <mergeCell ref="V32:W32"/>
    <mergeCell ref="V34:W34"/>
    <mergeCell ref="G21:H21"/>
    <mergeCell ref="V23:W23"/>
    <mergeCell ref="M24:N24"/>
    <mergeCell ref="V24:W24"/>
    <mergeCell ref="V27:W27"/>
    <mergeCell ref="G29:H29"/>
    <mergeCell ref="V29:W29"/>
    <mergeCell ref="V28:W28"/>
    <mergeCell ref="G27:H27"/>
    <mergeCell ref="I27:J27"/>
    <mergeCell ref="N29:O29"/>
    <mergeCell ref="G24:H24"/>
    <mergeCell ref="I24:J24"/>
    <mergeCell ref="S26:U26"/>
    <mergeCell ref="V20:W20"/>
    <mergeCell ref="Q12:R12"/>
    <mergeCell ref="M18:N18"/>
    <mergeCell ref="V17:W17"/>
    <mergeCell ref="G16:R16"/>
    <mergeCell ref="I7:J8"/>
    <mergeCell ref="K12:M12"/>
    <mergeCell ref="N12:O12"/>
    <mergeCell ref="S16:X16"/>
    <mergeCell ref="R7:W7"/>
    <mergeCell ref="R8:W8"/>
    <mergeCell ref="Q11:U11"/>
    <mergeCell ref="E12:H12"/>
    <mergeCell ref="I11:L11"/>
    <mergeCell ref="G17:H17"/>
    <mergeCell ref="O8:Q8"/>
    <mergeCell ref="N17:O17"/>
    <mergeCell ref="D11:H11"/>
    <mergeCell ref="S20:U20"/>
    <mergeCell ref="I1:P1"/>
    <mergeCell ref="S12:T12"/>
    <mergeCell ref="G18:H18"/>
    <mergeCell ref="A4:X4"/>
    <mergeCell ref="C6:D6"/>
    <mergeCell ref="K6:L6"/>
    <mergeCell ref="G6:H6"/>
    <mergeCell ref="E6:F6"/>
    <mergeCell ref="I6:J6"/>
    <mergeCell ref="O6:Q6"/>
    <mergeCell ref="R6:W6"/>
    <mergeCell ref="V18:W18"/>
    <mergeCell ref="I18:J18"/>
    <mergeCell ref="A6:B6"/>
    <mergeCell ref="A7:B8"/>
    <mergeCell ref="A11:C11"/>
    <mergeCell ref="K7:L8"/>
    <mergeCell ref="E7:F8"/>
    <mergeCell ref="C7:D8"/>
    <mergeCell ref="A48:X48"/>
    <mergeCell ref="S42:T42"/>
    <mergeCell ref="S41:U41"/>
    <mergeCell ref="S46:U46"/>
    <mergeCell ref="V46:W46"/>
    <mergeCell ref="O7:Q7"/>
    <mergeCell ref="G7:H8"/>
    <mergeCell ref="I17:J17"/>
    <mergeCell ref="M11:O11"/>
    <mergeCell ref="G23:H23"/>
    <mergeCell ref="V26:W26"/>
    <mergeCell ref="V30:W30"/>
    <mergeCell ref="A16:F16"/>
    <mergeCell ref="A15:X15"/>
    <mergeCell ref="A12:C12"/>
    <mergeCell ref="V11:W11"/>
    <mergeCell ref="V45:W45"/>
    <mergeCell ref="I23:J23"/>
    <mergeCell ref="N23:O23"/>
    <mergeCell ref="V35:W35"/>
    <mergeCell ref="I29:J29"/>
    <mergeCell ref="I21:J21"/>
    <mergeCell ref="V22:W22"/>
    <mergeCell ref="V21:W21"/>
  </mergeCells>
  <phoneticPr fontId="2"/>
  <printOptions horizontalCentered="1" verticalCentered="1"/>
  <pageMargins left="0.39370078740157483" right="0.39370078740157483" top="0.39370078740157483" bottom="0.39370078740157483" header="0" footer="0"/>
  <pageSetup paperSize="9" scale="82"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260C2-9372-4D28-A4E5-FE4FDFA0440F}">
  <sheetPr>
    <tabColor rgb="FFFFFF00"/>
    <pageSetUpPr fitToPage="1"/>
  </sheetPr>
  <dimension ref="A1:AE54"/>
  <sheetViews>
    <sheetView view="pageBreakPreview" zoomScaleNormal="100" zoomScaleSheetLayoutView="100" workbookViewId="0">
      <selection activeCell="X20" sqref="X20"/>
    </sheetView>
  </sheetViews>
  <sheetFormatPr baseColWidth="10" defaultColWidth="9" defaultRowHeight="14"/>
  <cols>
    <col min="1" max="1" width="3.6640625" style="1" customWidth="1"/>
    <col min="2" max="2" width="4.1640625" style="1" customWidth="1"/>
    <col min="3" max="3" width="5.5" style="1" customWidth="1"/>
    <col min="4" max="5" width="4" style="1" customWidth="1"/>
    <col min="6" max="6" width="5.1640625" style="1" customWidth="1"/>
    <col min="7" max="8" width="4.1640625" style="1" customWidth="1"/>
    <col min="9" max="12" width="4" style="1" customWidth="1"/>
    <col min="13" max="13" width="7.6640625" style="1" customWidth="1"/>
    <col min="14" max="16" width="4" style="1" customWidth="1"/>
    <col min="17" max="17" width="2.5" style="1" customWidth="1"/>
    <col min="18" max="22" width="4.1640625" style="1" customWidth="1"/>
    <col min="23" max="23" width="5.1640625" style="1" customWidth="1"/>
    <col min="24" max="24" width="4.1640625" style="1" customWidth="1"/>
    <col min="25" max="16384" width="9" style="1"/>
  </cols>
  <sheetData>
    <row r="1" spans="1:25" ht="15.75" customHeight="1">
      <c r="A1" s="2"/>
      <c r="B1" s="2"/>
      <c r="C1" s="2"/>
      <c r="D1" s="2"/>
      <c r="E1" s="2"/>
      <c r="F1" s="2"/>
      <c r="G1" s="2"/>
      <c r="H1" s="2"/>
      <c r="I1" s="205" t="s">
        <v>5</v>
      </c>
      <c r="J1" s="205"/>
      <c r="K1" s="205"/>
      <c r="L1" s="205"/>
      <c r="M1" s="205"/>
      <c r="N1" s="205"/>
      <c r="O1" s="205"/>
      <c r="P1" s="205"/>
      <c r="Q1" s="2"/>
      <c r="R1" s="2"/>
      <c r="S1" s="2"/>
      <c r="T1" s="2"/>
      <c r="U1" s="2"/>
      <c r="V1" s="2"/>
      <c r="W1" s="2"/>
      <c r="X1" s="2"/>
    </row>
    <row r="2" spans="1:25" ht="9" customHeight="1" thickBot="1">
      <c r="I2" s="3"/>
      <c r="J2" s="3"/>
      <c r="K2" s="3"/>
      <c r="L2" s="3"/>
      <c r="M2" s="3"/>
      <c r="N2" s="3"/>
      <c r="O2" s="3"/>
      <c r="P2" s="3"/>
    </row>
    <row r="3" spans="1:25" ht="22.5" customHeight="1" thickBot="1">
      <c r="A3" s="7" t="s">
        <v>14</v>
      </c>
      <c r="B3" s="7"/>
      <c r="P3" s="130"/>
      <c r="Q3" s="131" t="s">
        <v>28</v>
      </c>
      <c r="R3" s="131"/>
      <c r="S3" s="167" t="s">
        <v>101</v>
      </c>
      <c r="T3" s="131" t="s">
        <v>2</v>
      </c>
      <c r="U3" s="167" t="s">
        <v>101</v>
      </c>
      <c r="V3" s="131" t="s">
        <v>3</v>
      </c>
      <c r="W3" s="167" t="s">
        <v>101</v>
      </c>
      <c r="X3" s="133" t="s">
        <v>4</v>
      </c>
    </row>
    <row r="4" spans="1:25" ht="36.75" customHeight="1">
      <c r="A4" s="208" t="s">
        <v>7</v>
      </c>
      <c r="B4" s="208"/>
      <c r="C4" s="208"/>
      <c r="D4" s="208"/>
      <c r="E4" s="208"/>
      <c r="F4" s="208"/>
      <c r="G4" s="208"/>
      <c r="H4" s="208"/>
      <c r="I4" s="208"/>
      <c r="J4" s="208"/>
      <c r="K4" s="208"/>
      <c r="L4" s="208"/>
      <c r="M4" s="208"/>
      <c r="N4" s="208"/>
      <c r="O4" s="208"/>
      <c r="P4" s="208"/>
      <c r="Q4" s="208"/>
      <c r="R4" s="208"/>
      <c r="S4" s="208"/>
      <c r="T4" s="208"/>
      <c r="U4" s="208"/>
      <c r="V4" s="208"/>
      <c r="W4" s="208"/>
      <c r="X4" s="208"/>
    </row>
    <row r="5" spans="1:25" ht="28.5" customHeight="1" thickBot="1">
      <c r="A5" s="159"/>
      <c r="B5" s="159"/>
      <c r="C5" s="159"/>
      <c r="D5" s="159"/>
      <c r="E5" s="159"/>
      <c r="F5" s="159"/>
      <c r="G5" s="159"/>
      <c r="H5" s="159"/>
      <c r="I5" s="159"/>
      <c r="J5" s="159"/>
      <c r="K5" s="54" t="s">
        <v>30</v>
      </c>
      <c r="L5" s="159"/>
      <c r="M5" s="159"/>
      <c r="N5" s="159"/>
      <c r="O5" s="159"/>
      <c r="P5" s="159"/>
      <c r="Q5" s="159"/>
      <c r="R5" s="159"/>
      <c r="S5" s="159"/>
      <c r="T5" s="20"/>
      <c r="U5" s="20"/>
      <c r="V5" s="20"/>
      <c r="W5" s="20"/>
      <c r="X5" s="20"/>
    </row>
    <row r="6" spans="1:25" ht="28" customHeight="1">
      <c r="A6" s="209" t="s">
        <v>6</v>
      </c>
      <c r="B6" s="224"/>
      <c r="C6" s="209" t="s">
        <v>29</v>
      </c>
      <c r="D6" s="210"/>
      <c r="E6" s="213" t="s">
        <v>15</v>
      </c>
      <c r="F6" s="214"/>
      <c r="G6" s="211" t="s">
        <v>17</v>
      </c>
      <c r="H6" s="212"/>
      <c r="I6" s="215" t="s">
        <v>16</v>
      </c>
      <c r="J6" s="212"/>
      <c r="K6" s="211" t="s">
        <v>1</v>
      </c>
      <c r="L6" s="212"/>
      <c r="O6" s="216" t="s">
        <v>9</v>
      </c>
      <c r="P6" s="217"/>
      <c r="Q6" s="217"/>
      <c r="R6" s="296" t="s">
        <v>162</v>
      </c>
      <c r="S6" s="296"/>
      <c r="T6" s="296"/>
      <c r="U6" s="296"/>
      <c r="V6" s="296"/>
      <c r="W6" s="296"/>
      <c r="X6" s="36"/>
    </row>
    <row r="7" spans="1:25" ht="28" customHeight="1">
      <c r="A7" s="225"/>
      <c r="B7" s="226"/>
      <c r="C7" s="225"/>
      <c r="D7" s="226"/>
      <c r="E7" s="225"/>
      <c r="F7" s="226"/>
      <c r="G7" s="185"/>
      <c r="H7" s="186"/>
      <c r="I7" s="185"/>
      <c r="J7" s="186"/>
      <c r="K7" s="230"/>
      <c r="L7" s="231"/>
      <c r="M7" s="4"/>
      <c r="N7" s="3"/>
      <c r="O7" s="183" t="s">
        <v>8</v>
      </c>
      <c r="P7" s="184"/>
      <c r="Q7" s="184"/>
      <c r="R7" s="297" t="s">
        <v>104</v>
      </c>
      <c r="S7" s="297"/>
      <c r="T7" s="297"/>
      <c r="U7" s="297"/>
      <c r="V7" s="297"/>
      <c r="W7" s="297"/>
      <c r="X7" s="37"/>
    </row>
    <row r="8" spans="1:25" ht="18.75" customHeight="1">
      <c r="A8" s="187"/>
      <c r="B8" s="188"/>
      <c r="C8" s="187"/>
      <c r="D8" s="188"/>
      <c r="E8" s="187"/>
      <c r="F8" s="188"/>
      <c r="G8" s="187"/>
      <c r="H8" s="188"/>
      <c r="I8" s="187"/>
      <c r="J8" s="188"/>
      <c r="K8" s="232"/>
      <c r="L8" s="233"/>
      <c r="M8" s="5"/>
      <c r="O8" s="238" t="s">
        <v>31</v>
      </c>
      <c r="P8" s="239"/>
      <c r="Q8" s="239"/>
      <c r="R8" s="297" t="s">
        <v>103</v>
      </c>
      <c r="S8" s="297"/>
      <c r="T8" s="297"/>
      <c r="U8" s="297"/>
      <c r="V8" s="297"/>
      <c r="W8" s="297"/>
      <c r="X8" s="38"/>
    </row>
    <row r="9" spans="1:25" ht="6.75" customHeight="1" thickBot="1">
      <c r="G9" s="11"/>
      <c r="H9" s="11"/>
      <c r="I9" s="11"/>
      <c r="J9" s="11"/>
      <c r="O9" s="51"/>
      <c r="P9" s="48"/>
      <c r="Q9" s="48"/>
      <c r="R9" s="49"/>
      <c r="S9" s="49"/>
      <c r="T9" s="49"/>
      <c r="U9" s="49"/>
      <c r="V9" s="49"/>
      <c r="W9" s="49"/>
      <c r="X9" s="52"/>
    </row>
    <row r="10" spans="1:25" ht="13.5" customHeight="1">
      <c r="O10" s="50"/>
      <c r="P10" s="50"/>
      <c r="Q10" s="50"/>
      <c r="R10" s="50"/>
      <c r="S10" s="8"/>
      <c r="T10" s="8"/>
      <c r="U10" s="8"/>
      <c r="V10" s="8"/>
      <c r="W10" s="8"/>
      <c r="X10" s="8"/>
    </row>
    <row r="11" spans="1:25" ht="36" customHeight="1">
      <c r="A11" s="227" t="s">
        <v>0</v>
      </c>
      <c r="B11" s="228"/>
      <c r="C11" s="229"/>
      <c r="D11" s="228" t="s">
        <v>100</v>
      </c>
      <c r="E11" s="228"/>
      <c r="F11" s="228"/>
      <c r="G11" s="228"/>
      <c r="H11" s="229"/>
      <c r="I11" s="227" t="s">
        <v>10</v>
      </c>
      <c r="J11" s="228"/>
      <c r="K11" s="228"/>
      <c r="L11" s="229"/>
      <c r="M11" s="184"/>
      <c r="N11" s="184"/>
      <c r="O11" s="184"/>
      <c r="P11" s="136"/>
      <c r="Q11" s="184"/>
      <c r="R11" s="184"/>
      <c r="S11" s="184"/>
      <c r="T11" s="184"/>
      <c r="U11" s="184"/>
      <c r="V11" s="184"/>
      <c r="W11" s="184"/>
      <c r="X11" s="6"/>
      <c r="Y11" s="11"/>
    </row>
    <row r="12" spans="1:25" ht="36" customHeight="1">
      <c r="A12" s="197" t="s">
        <v>25</v>
      </c>
      <c r="B12" s="198"/>
      <c r="C12" s="199"/>
      <c r="D12" s="39"/>
      <c r="E12" s="237">
        <f>SUM(V41,V44)</f>
        <v>134570</v>
      </c>
      <c r="F12" s="237"/>
      <c r="G12" s="237"/>
      <c r="H12" s="237"/>
      <c r="I12" s="39" t="s">
        <v>13</v>
      </c>
      <c r="J12" s="158" t="s">
        <v>27</v>
      </c>
      <c r="K12" s="234" t="s">
        <v>36</v>
      </c>
      <c r="L12" s="234"/>
      <c r="M12" s="234"/>
      <c r="N12" s="206">
        <f>SUM(V45)</f>
        <v>129987</v>
      </c>
      <c r="O12" s="206"/>
      <c r="P12" s="40" t="s">
        <v>26</v>
      </c>
      <c r="Q12" s="234" t="s">
        <v>21</v>
      </c>
      <c r="R12" s="234"/>
      <c r="S12" s="206">
        <f>SUM(V42)</f>
        <v>4583</v>
      </c>
      <c r="T12" s="206"/>
      <c r="U12" s="41" t="s">
        <v>13</v>
      </c>
      <c r="V12" s="40" t="s">
        <v>24</v>
      </c>
      <c r="W12" s="160"/>
      <c r="X12" s="42"/>
    </row>
    <row r="13" spans="1:25" ht="9.75" customHeight="1">
      <c r="A13" s="136"/>
      <c r="B13" s="136"/>
      <c r="C13" s="136"/>
      <c r="D13" s="6"/>
      <c r="E13" s="6"/>
      <c r="F13" s="9"/>
      <c r="G13" s="10"/>
      <c r="H13" s="10"/>
      <c r="I13" s="10"/>
      <c r="J13" s="10"/>
      <c r="K13" s="6"/>
      <c r="L13" s="6"/>
      <c r="M13" s="136"/>
      <c r="N13" s="136"/>
      <c r="O13" s="136"/>
      <c r="P13" s="136"/>
      <c r="Q13" s="136"/>
      <c r="R13" s="136"/>
      <c r="S13" s="136"/>
      <c r="T13" s="136"/>
      <c r="U13" s="136"/>
      <c r="V13" s="136"/>
      <c r="W13" s="136"/>
      <c r="X13" s="6"/>
    </row>
    <row r="14" spans="1:25" ht="11.25" customHeight="1">
      <c r="A14" s="6"/>
      <c r="B14" s="6"/>
      <c r="C14" s="6"/>
      <c r="D14" s="6"/>
      <c r="E14" s="6"/>
      <c r="F14" s="6"/>
      <c r="G14" s="6"/>
      <c r="H14" s="6"/>
      <c r="I14" s="6"/>
      <c r="J14" s="6"/>
      <c r="K14" s="6"/>
      <c r="L14" s="6"/>
      <c r="M14" s="6"/>
      <c r="N14" s="6"/>
      <c r="O14" s="6"/>
      <c r="P14" s="6"/>
      <c r="Q14" s="6"/>
      <c r="R14" s="6"/>
      <c r="S14" s="6"/>
      <c r="T14" s="6"/>
      <c r="U14" s="6"/>
      <c r="V14" s="6"/>
      <c r="W14" s="6"/>
      <c r="X14" s="6"/>
    </row>
    <row r="15" spans="1:25" ht="20" customHeight="1">
      <c r="A15" s="197" t="s">
        <v>11</v>
      </c>
      <c r="B15" s="198"/>
      <c r="C15" s="198"/>
      <c r="D15" s="198"/>
      <c r="E15" s="198"/>
      <c r="F15" s="198"/>
      <c r="G15" s="198"/>
      <c r="H15" s="198"/>
      <c r="I15" s="198"/>
      <c r="J15" s="198"/>
      <c r="K15" s="198"/>
      <c r="L15" s="198"/>
      <c r="M15" s="198"/>
      <c r="N15" s="198"/>
      <c r="O15" s="198"/>
      <c r="P15" s="198"/>
      <c r="Q15" s="198"/>
      <c r="R15" s="198"/>
      <c r="S15" s="198"/>
      <c r="T15" s="198"/>
      <c r="U15" s="198"/>
      <c r="V15" s="198"/>
      <c r="W15" s="198"/>
      <c r="X15" s="199"/>
    </row>
    <row r="16" spans="1:25" ht="20" customHeight="1" thickBot="1">
      <c r="A16" s="194" t="s">
        <v>160</v>
      </c>
      <c r="B16" s="195"/>
      <c r="C16" s="195"/>
      <c r="D16" s="195"/>
      <c r="E16" s="195"/>
      <c r="F16" s="196"/>
      <c r="G16" s="194" t="s">
        <v>161</v>
      </c>
      <c r="H16" s="195"/>
      <c r="I16" s="195"/>
      <c r="J16" s="195"/>
      <c r="K16" s="195"/>
      <c r="L16" s="195"/>
      <c r="M16" s="195"/>
      <c r="N16" s="195"/>
      <c r="O16" s="195"/>
      <c r="P16" s="195"/>
      <c r="Q16" s="195"/>
      <c r="R16" s="195"/>
      <c r="S16" s="194" t="s">
        <v>12</v>
      </c>
      <c r="T16" s="195"/>
      <c r="U16" s="195"/>
      <c r="V16" s="195"/>
      <c r="W16" s="195"/>
      <c r="X16" s="196"/>
    </row>
    <row r="17" spans="1:24" ht="21" customHeight="1" thickTop="1" thickBot="1">
      <c r="A17" s="304" t="s">
        <v>157</v>
      </c>
      <c r="B17" s="305"/>
      <c r="C17" s="305"/>
      <c r="D17" s="305"/>
      <c r="E17" s="305"/>
      <c r="F17" s="306"/>
      <c r="G17" s="191" t="s">
        <v>41</v>
      </c>
      <c r="H17" s="191"/>
      <c r="I17" s="307">
        <v>1230</v>
      </c>
      <c r="J17" s="308"/>
      <c r="K17" s="136" t="s">
        <v>18</v>
      </c>
      <c r="L17" s="136" t="s">
        <v>19</v>
      </c>
      <c r="M17" s="55">
        <v>10</v>
      </c>
      <c r="N17" s="203" t="s">
        <v>20</v>
      </c>
      <c r="O17" s="203"/>
      <c r="P17" s="156"/>
      <c r="Q17" s="6"/>
      <c r="R17" s="6"/>
      <c r="S17" s="14"/>
      <c r="T17" s="6"/>
      <c r="U17" s="21"/>
      <c r="V17" s="309">
        <f>ROUND(I17*M17,0)</f>
        <v>12300</v>
      </c>
      <c r="W17" s="309"/>
      <c r="X17" s="153"/>
    </row>
    <row r="18" spans="1:24" ht="22.5" customHeight="1">
      <c r="A18" s="298" t="s">
        <v>163</v>
      </c>
      <c r="B18" s="299"/>
      <c r="C18" s="299"/>
      <c r="D18" s="299"/>
      <c r="E18" s="299"/>
      <c r="F18" s="300"/>
      <c r="G18" s="207" t="s">
        <v>21</v>
      </c>
      <c r="H18" s="207"/>
      <c r="I18" s="243">
        <f>SUM(V17)</f>
        <v>12300</v>
      </c>
      <c r="J18" s="243"/>
      <c r="K18" s="6" t="s">
        <v>18</v>
      </c>
      <c r="L18" s="136" t="s">
        <v>19</v>
      </c>
      <c r="M18" s="235">
        <v>3.0630000000000002</v>
      </c>
      <c r="N18" s="235"/>
      <c r="O18" s="6" t="s">
        <v>22</v>
      </c>
      <c r="P18" s="6"/>
      <c r="Q18" s="6"/>
      <c r="R18" s="6"/>
      <c r="S18" s="14"/>
      <c r="T18" s="6"/>
      <c r="U18" s="17" t="s">
        <v>23</v>
      </c>
      <c r="V18" s="193">
        <f>ROUNDDOWN(I18*M18*0.01,0)</f>
        <v>376</v>
      </c>
      <c r="W18" s="193"/>
      <c r="X18" s="150"/>
    </row>
    <row r="19" spans="1:24" ht="11.25" customHeight="1">
      <c r="A19" s="301" t="s">
        <v>158</v>
      </c>
      <c r="B19" s="302"/>
      <c r="C19" s="302"/>
      <c r="D19" s="302"/>
      <c r="E19" s="302"/>
      <c r="F19" s="303"/>
      <c r="G19" s="157"/>
      <c r="H19" s="157"/>
      <c r="I19" s="162"/>
      <c r="J19" s="162"/>
      <c r="K19" s="6"/>
      <c r="L19" s="136"/>
      <c r="M19" s="155"/>
      <c r="N19" s="155"/>
      <c r="O19" s="6"/>
      <c r="P19" s="6"/>
      <c r="Q19" s="6"/>
      <c r="R19" s="6"/>
      <c r="S19" s="43"/>
      <c r="T19" s="163"/>
      <c r="U19" s="163"/>
      <c r="V19" s="164"/>
      <c r="W19" s="164"/>
      <c r="X19" s="150"/>
    </row>
    <row r="20" spans="1:24" ht="24" customHeight="1" thickBot="1">
      <c r="A20" s="319" t="s">
        <v>165</v>
      </c>
      <c r="B20" s="320"/>
      <c r="C20" s="320"/>
      <c r="D20" s="320"/>
      <c r="E20" s="320"/>
      <c r="F20" s="321"/>
      <c r="G20" s="22"/>
      <c r="H20" s="22"/>
      <c r="I20" s="34"/>
      <c r="J20" s="34"/>
      <c r="K20" s="22"/>
      <c r="L20" s="23"/>
      <c r="M20" s="136"/>
      <c r="N20" s="23"/>
      <c r="O20" s="22"/>
      <c r="P20" s="22"/>
      <c r="Q20" s="22"/>
      <c r="R20" s="22"/>
      <c r="S20" s="276" t="s">
        <v>37</v>
      </c>
      <c r="T20" s="277"/>
      <c r="U20" s="277"/>
      <c r="V20" s="192">
        <f>V17-V18</f>
        <v>11924</v>
      </c>
      <c r="W20" s="192">
        <f t="shared" ref="W20" si="0">SUM(W18-W19)</f>
        <v>0</v>
      </c>
      <c r="X20" s="151" t="s">
        <v>13</v>
      </c>
    </row>
    <row r="21" spans="1:24" ht="20.25" customHeight="1" thickBot="1">
      <c r="A21" s="322" t="s">
        <v>159</v>
      </c>
      <c r="B21" s="323"/>
      <c r="C21" s="324" t="s">
        <v>168</v>
      </c>
      <c r="D21" s="324"/>
      <c r="E21" s="324"/>
      <c r="F21" s="32" t="s">
        <v>35</v>
      </c>
      <c r="G21" s="240" t="s">
        <v>32</v>
      </c>
      <c r="H21" s="240"/>
      <c r="I21" s="325">
        <v>500</v>
      </c>
      <c r="J21" s="326"/>
      <c r="K21" s="24" t="s">
        <v>13</v>
      </c>
      <c r="L21" s="25" t="s">
        <v>19</v>
      </c>
      <c r="M21" s="53">
        <v>3</v>
      </c>
      <c r="N21" s="25" t="s">
        <v>33</v>
      </c>
      <c r="O21" s="24"/>
      <c r="P21" s="24"/>
      <c r="Q21" s="24"/>
      <c r="R21" s="24"/>
      <c r="S21" s="26"/>
      <c r="T21" s="27"/>
      <c r="U21" s="28"/>
      <c r="V21" s="327">
        <f>I21*M21</f>
        <v>1500</v>
      </c>
      <c r="W21" s="327"/>
      <c r="X21" s="46"/>
    </row>
    <row r="22" spans="1:24" ht="21" customHeight="1" thickBot="1">
      <c r="A22" s="310"/>
      <c r="B22" s="311"/>
      <c r="C22" s="311"/>
      <c r="D22" s="311"/>
      <c r="E22" s="311"/>
      <c r="F22" s="312"/>
      <c r="G22" s="161"/>
      <c r="H22" s="15"/>
      <c r="I22" s="34"/>
      <c r="J22" s="34"/>
      <c r="K22" s="15"/>
      <c r="L22" s="16"/>
      <c r="M22" s="136"/>
      <c r="N22" s="16"/>
      <c r="O22" s="15"/>
      <c r="P22" s="15"/>
      <c r="Q22" s="15"/>
      <c r="R22" s="15"/>
      <c r="S22" s="29" t="s">
        <v>38</v>
      </c>
      <c r="T22" s="30"/>
      <c r="U22" s="31"/>
      <c r="V22" s="313">
        <f>SUM(V20:W21)</f>
        <v>13424</v>
      </c>
      <c r="W22" s="313"/>
      <c r="X22" s="152" t="s">
        <v>13</v>
      </c>
    </row>
    <row r="23" spans="1:24" ht="20.25" customHeight="1" thickBot="1">
      <c r="A23" s="314" t="s">
        <v>157</v>
      </c>
      <c r="B23" s="315"/>
      <c r="C23" s="315"/>
      <c r="D23" s="315"/>
      <c r="E23" s="315"/>
      <c r="F23" s="316"/>
      <c r="G23" s="191" t="s">
        <v>41</v>
      </c>
      <c r="H23" s="191"/>
      <c r="I23" s="317">
        <v>1330</v>
      </c>
      <c r="J23" s="318"/>
      <c r="K23" s="136" t="s">
        <v>18</v>
      </c>
      <c r="L23" s="136" t="s">
        <v>19</v>
      </c>
      <c r="M23" s="134">
        <v>79</v>
      </c>
      <c r="N23" s="203" t="s">
        <v>20</v>
      </c>
      <c r="O23" s="203"/>
      <c r="P23" s="156"/>
      <c r="Q23" s="6"/>
      <c r="R23" s="6"/>
      <c r="S23" s="14"/>
      <c r="T23" s="6"/>
      <c r="U23" s="21"/>
      <c r="V23" s="309">
        <f>ROUND(I23*M23,0)</f>
        <v>105070</v>
      </c>
      <c r="W23" s="309"/>
      <c r="X23" s="153"/>
    </row>
    <row r="24" spans="1:24" ht="20.25" customHeight="1">
      <c r="A24" s="298" t="s">
        <v>164</v>
      </c>
      <c r="B24" s="299"/>
      <c r="C24" s="299"/>
      <c r="D24" s="299"/>
      <c r="E24" s="299"/>
      <c r="F24" s="300"/>
      <c r="G24" s="207" t="s">
        <v>21</v>
      </c>
      <c r="H24" s="207"/>
      <c r="I24" s="328">
        <v>3800</v>
      </c>
      <c r="J24" s="328"/>
      <c r="K24" s="6" t="s">
        <v>18</v>
      </c>
      <c r="L24" s="136" t="s">
        <v>19</v>
      </c>
      <c r="M24" s="329">
        <v>100</v>
      </c>
      <c r="N24" s="329"/>
      <c r="O24" s="6" t="s">
        <v>22</v>
      </c>
      <c r="P24" s="6"/>
      <c r="Q24" s="6"/>
      <c r="R24" s="6"/>
      <c r="S24" s="14"/>
      <c r="T24" s="6"/>
      <c r="U24" s="17" t="s">
        <v>23</v>
      </c>
      <c r="V24" s="193">
        <f>ROUNDDOWN(I24*M24*0.01,0)</f>
        <v>3800</v>
      </c>
      <c r="W24" s="193"/>
      <c r="X24" s="150"/>
    </row>
    <row r="25" spans="1:24" ht="12.75" customHeight="1">
      <c r="A25" s="301" t="s">
        <v>158</v>
      </c>
      <c r="B25" s="302"/>
      <c r="C25" s="302"/>
      <c r="D25" s="302"/>
      <c r="E25" s="302"/>
      <c r="F25" s="303"/>
      <c r="G25" s="157"/>
      <c r="H25" s="157"/>
      <c r="I25" s="162"/>
      <c r="J25" s="135" t="s">
        <v>102</v>
      </c>
      <c r="K25" s="6"/>
      <c r="L25" s="136"/>
      <c r="M25" s="155"/>
      <c r="N25" s="155"/>
      <c r="O25" s="6"/>
      <c r="P25" s="6"/>
      <c r="Q25" s="6"/>
      <c r="R25" s="6"/>
      <c r="S25" s="43"/>
      <c r="T25" s="163"/>
      <c r="U25" s="163"/>
      <c r="V25" s="164"/>
      <c r="W25" s="164"/>
      <c r="X25" s="150"/>
    </row>
    <row r="26" spans="1:24" ht="20.25" customHeight="1" thickBot="1">
      <c r="A26" s="319" t="s">
        <v>165</v>
      </c>
      <c r="B26" s="320"/>
      <c r="C26" s="320"/>
      <c r="D26" s="320"/>
      <c r="E26" s="320"/>
      <c r="F26" s="321"/>
      <c r="G26" s="22"/>
      <c r="H26" s="22"/>
      <c r="I26" s="34"/>
      <c r="J26" s="34"/>
      <c r="K26" s="22"/>
      <c r="L26" s="23"/>
      <c r="M26" s="136"/>
      <c r="N26" s="23"/>
      <c r="O26" s="22"/>
      <c r="P26" s="22"/>
      <c r="Q26" s="22"/>
      <c r="R26" s="22"/>
      <c r="S26" s="276" t="s">
        <v>37</v>
      </c>
      <c r="T26" s="277"/>
      <c r="U26" s="277"/>
      <c r="V26" s="192">
        <f>V23-V24</f>
        <v>101270</v>
      </c>
      <c r="W26" s="192">
        <f t="shared" ref="W26" si="1">SUM(W24-W25)</f>
        <v>0</v>
      </c>
      <c r="X26" s="151" t="s">
        <v>13</v>
      </c>
    </row>
    <row r="27" spans="1:24" ht="20.25" customHeight="1" thickBot="1">
      <c r="A27" s="322" t="s">
        <v>159</v>
      </c>
      <c r="B27" s="323"/>
      <c r="C27" s="324" t="s">
        <v>168</v>
      </c>
      <c r="D27" s="324"/>
      <c r="E27" s="324"/>
      <c r="F27" s="32" t="s">
        <v>35</v>
      </c>
      <c r="G27" s="240" t="s">
        <v>32</v>
      </c>
      <c r="H27" s="240"/>
      <c r="I27" s="219"/>
      <c r="J27" s="220"/>
      <c r="K27" s="24" t="s">
        <v>13</v>
      </c>
      <c r="L27" s="25" t="s">
        <v>19</v>
      </c>
      <c r="M27" s="35"/>
      <c r="N27" s="25" t="s">
        <v>33</v>
      </c>
      <c r="O27" s="24"/>
      <c r="P27" s="24"/>
      <c r="Q27" s="24"/>
      <c r="R27" s="24"/>
      <c r="S27" s="26"/>
      <c r="T27" s="27"/>
      <c r="U27" s="28"/>
      <c r="V27" s="327">
        <f>I27*M27</f>
        <v>0</v>
      </c>
      <c r="W27" s="327"/>
      <c r="X27" s="46"/>
    </row>
    <row r="28" spans="1:24" ht="20.25" customHeight="1" thickBot="1">
      <c r="A28" s="310"/>
      <c r="B28" s="311"/>
      <c r="C28" s="311"/>
      <c r="D28" s="311"/>
      <c r="E28" s="311"/>
      <c r="F28" s="312"/>
      <c r="G28" s="161"/>
      <c r="H28" s="15"/>
      <c r="I28" s="34"/>
      <c r="J28" s="34"/>
      <c r="K28" s="15"/>
      <c r="L28" s="16"/>
      <c r="M28" s="131"/>
      <c r="N28" s="16"/>
      <c r="O28" s="15"/>
      <c r="P28" s="15"/>
      <c r="Q28" s="15"/>
      <c r="R28" s="15"/>
      <c r="S28" s="29" t="s">
        <v>38</v>
      </c>
      <c r="T28" s="30"/>
      <c r="U28" s="31"/>
      <c r="V28" s="313">
        <f>SUM(V26:W27)</f>
        <v>101270</v>
      </c>
      <c r="W28" s="313"/>
      <c r="X28" s="152" t="s">
        <v>13</v>
      </c>
    </row>
    <row r="29" spans="1:24" ht="20.25" customHeight="1" thickBot="1">
      <c r="A29" s="314" t="s">
        <v>157</v>
      </c>
      <c r="B29" s="315"/>
      <c r="C29" s="315"/>
      <c r="D29" s="315"/>
      <c r="E29" s="315"/>
      <c r="F29" s="316"/>
      <c r="G29" s="191" t="s">
        <v>41</v>
      </c>
      <c r="H29" s="191"/>
      <c r="I29" s="201"/>
      <c r="J29" s="202"/>
      <c r="K29" s="136" t="s">
        <v>18</v>
      </c>
      <c r="L29" s="136" t="s">
        <v>19</v>
      </c>
      <c r="M29" s="154"/>
      <c r="N29" s="242" t="s">
        <v>20</v>
      </c>
      <c r="O29" s="203"/>
      <c r="P29" s="156"/>
      <c r="Q29" s="6"/>
      <c r="R29" s="6"/>
      <c r="S29" s="14"/>
      <c r="T29" s="6"/>
      <c r="U29" s="21"/>
      <c r="V29" s="309">
        <f>ROUND(I29*M29,0)</f>
        <v>0</v>
      </c>
      <c r="W29" s="309"/>
      <c r="X29" s="153"/>
    </row>
    <row r="30" spans="1:24" ht="20.25" customHeight="1">
      <c r="A30" s="268"/>
      <c r="B30" s="269"/>
      <c r="C30" s="269"/>
      <c r="D30" s="269"/>
      <c r="E30" s="269"/>
      <c r="F30" s="270"/>
      <c r="G30" s="207" t="s">
        <v>21</v>
      </c>
      <c r="H30" s="207"/>
      <c r="I30" s="243">
        <f>SUM(V29)</f>
        <v>0</v>
      </c>
      <c r="J30" s="243"/>
      <c r="K30" s="6" t="s">
        <v>18</v>
      </c>
      <c r="L30" s="136" t="s">
        <v>19</v>
      </c>
      <c r="M30" s="235">
        <v>3.0630000000000002</v>
      </c>
      <c r="N30" s="235"/>
      <c r="O30" s="6" t="s">
        <v>22</v>
      </c>
      <c r="P30" s="6"/>
      <c r="Q30" s="6"/>
      <c r="R30" s="6"/>
      <c r="S30" s="14"/>
      <c r="T30" s="6"/>
      <c r="U30" s="17" t="s">
        <v>23</v>
      </c>
      <c r="V30" s="193">
        <f>ROUNDDOWN(I30*M30*0.01,0)</f>
        <v>0</v>
      </c>
      <c r="W30" s="193"/>
      <c r="X30" s="150"/>
    </row>
    <row r="31" spans="1:24" ht="12" customHeight="1">
      <c r="A31" s="301" t="s">
        <v>158</v>
      </c>
      <c r="B31" s="302"/>
      <c r="C31" s="302"/>
      <c r="D31" s="302"/>
      <c r="E31" s="302"/>
      <c r="F31" s="303"/>
      <c r="G31" s="157"/>
      <c r="H31" s="157"/>
      <c r="I31" s="162"/>
      <c r="J31" s="162"/>
      <c r="K31" s="6"/>
      <c r="L31" s="136"/>
      <c r="M31" s="155"/>
      <c r="N31" s="155"/>
      <c r="O31" s="6"/>
      <c r="P31" s="6"/>
      <c r="Q31" s="6"/>
      <c r="R31" s="6"/>
      <c r="S31" s="43"/>
      <c r="T31" s="163"/>
      <c r="U31" s="163"/>
      <c r="V31" s="164"/>
      <c r="W31" s="164"/>
      <c r="X31" s="150"/>
    </row>
    <row r="32" spans="1:24" ht="20.25" customHeight="1" thickBot="1">
      <c r="A32" s="183"/>
      <c r="B32" s="184"/>
      <c r="C32" s="184"/>
      <c r="D32" s="184"/>
      <c r="E32" s="184"/>
      <c r="F32" s="330"/>
      <c r="G32" s="22"/>
      <c r="H32" s="22"/>
      <c r="I32" s="34"/>
      <c r="J32" s="34"/>
      <c r="K32" s="22"/>
      <c r="L32" s="23"/>
      <c r="M32" s="136"/>
      <c r="N32" s="23"/>
      <c r="O32" s="22"/>
      <c r="P32" s="22"/>
      <c r="Q32" s="22"/>
      <c r="R32" s="22"/>
      <c r="S32" s="276" t="s">
        <v>37</v>
      </c>
      <c r="T32" s="277"/>
      <c r="U32" s="277"/>
      <c r="V32" s="192">
        <f>V29-V30</f>
        <v>0</v>
      </c>
      <c r="W32" s="192">
        <f t="shared" ref="W32" si="2">SUM(W30-W31)</f>
        <v>0</v>
      </c>
      <c r="X32" s="151" t="s">
        <v>13</v>
      </c>
    </row>
    <row r="33" spans="1:24" ht="20.25" customHeight="1" thickBot="1">
      <c r="A33" s="322" t="s">
        <v>159</v>
      </c>
      <c r="B33" s="323"/>
      <c r="C33" s="278"/>
      <c r="D33" s="278"/>
      <c r="E33" s="278"/>
      <c r="F33" s="32" t="s">
        <v>35</v>
      </c>
      <c r="G33" s="240" t="s">
        <v>32</v>
      </c>
      <c r="H33" s="240"/>
      <c r="I33" s="219"/>
      <c r="J33" s="220"/>
      <c r="K33" s="24" t="s">
        <v>13</v>
      </c>
      <c r="L33" s="25" t="s">
        <v>19</v>
      </c>
      <c r="M33" s="35"/>
      <c r="N33" s="25" t="s">
        <v>33</v>
      </c>
      <c r="O33" s="24"/>
      <c r="P33" s="24"/>
      <c r="Q33" s="24"/>
      <c r="R33" s="24"/>
      <c r="S33" s="26"/>
      <c r="T33" s="27"/>
      <c r="U33" s="28"/>
      <c r="V33" s="327">
        <f>I33*M33</f>
        <v>0</v>
      </c>
      <c r="W33" s="327"/>
      <c r="X33" s="46"/>
    </row>
    <row r="34" spans="1:24" ht="20.25" customHeight="1" thickBot="1">
      <c r="A34" s="310"/>
      <c r="B34" s="311"/>
      <c r="C34" s="311"/>
      <c r="D34" s="311"/>
      <c r="E34" s="311"/>
      <c r="F34" s="312"/>
      <c r="G34" s="161"/>
      <c r="H34" s="15"/>
      <c r="I34" s="34"/>
      <c r="J34" s="34"/>
      <c r="K34" s="15"/>
      <c r="L34" s="16"/>
      <c r="M34" s="136"/>
      <c r="N34" s="16"/>
      <c r="O34" s="15"/>
      <c r="P34" s="15"/>
      <c r="Q34" s="15"/>
      <c r="R34" s="15"/>
      <c r="S34" s="29" t="s">
        <v>38</v>
      </c>
      <c r="T34" s="30"/>
      <c r="U34" s="31"/>
      <c r="V34" s="313">
        <f>SUM(V32:W33)</f>
        <v>0</v>
      </c>
      <c r="W34" s="313"/>
      <c r="X34" s="152" t="s">
        <v>13</v>
      </c>
    </row>
    <row r="35" spans="1:24" ht="20.25" customHeight="1" thickBot="1">
      <c r="A35" s="314" t="s">
        <v>157</v>
      </c>
      <c r="B35" s="315"/>
      <c r="C35" s="315"/>
      <c r="D35" s="315"/>
      <c r="E35" s="315"/>
      <c r="F35" s="316"/>
      <c r="G35" s="191" t="s">
        <v>41</v>
      </c>
      <c r="H35" s="191"/>
      <c r="I35" s="201">
        <v>1330</v>
      </c>
      <c r="J35" s="202"/>
      <c r="K35" s="136" t="s">
        <v>18</v>
      </c>
      <c r="L35" s="136" t="s">
        <v>19</v>
      </c>
      <c r="M35" s="33">
        <v>10</v>
      </c>
      <c r="N35" s="203" t="s">
        <v>20</v>
      </c>
      <c r="O35" s="203"/>
      <c r="P35" s="156"/>
      <c r="Q35" s="6"/>
      <c r="R35" s="6"/>
      <c r="S35" s="14"/>
      <c r="T35" s="6"/>
      <c r="U35" s="21"/>
      <c r="V35" s="309">
        <f>ROUND(I35*M35,0)</f>
        <v>13300</v>
      </c>
      <c r="W35" s="309"/>
      <c r="X35" s="153"/>
    </row>
    <row r="36" spans="1:24" ht="20.25" customHeight="1">
      <c r="A36" s="298" t="s">
        <v>166</v>
      </c>
      <c r="B36" s="299"/>
      <c r="C36" s="299"/>
      <c r="D36" s="299"/>
      <c r="E36" s="299"/>
      <c r="F36" s="300"/>
      <c r="G36" s="207" t="s">
        <v>21</v>
      </c>
      <c r="H36" s="207"/>
      <c r="I36" s="243">
        <f>SUM(V35)</f>
        <v>13300</v>
      </c>
      <c r="J36" s="243"/>
      <c r="K36" s="6" t="s">
        <v>18</v>
      </c>
      <c r="L36" s="136" t="s">
        <v>19</v>
      </c>
      <c r="M36" s="235">
        <v>3.0630000000000002</v>
      </c>
      <c r="N36" s="235"/>
      <c r="O36" s="6" t="s">
        <v>22</v>
      </c>
      <c r="P36" s="6"/>
      <c r="Q36" s="6"/>
      <c r="R36" s="6"/>
      <c r="S36" s="14"/>
      <c r="T36" s="6"/>
      <c r="U36" s="17" t="s">
        <v>23</v>
      </c>
      <c r="V36" s="193">
        <f>ROUNDDOWN(I36*M36*0.01,0)</f>
        <v>407</v>
      </c>
      <c r="W36" s="193"/>
      <c r="X36" s="150"/>
    </row>
    <row r="37" spans="1:24" ht="10.5" customHeight="1">
      <c r="A37" s="301" t="s">
        <v>158</v>
      </c>
      <c r="B37" s="302"/>
      <c r="C37" s="302"/>
      <c r="D37" s="302"/>
      <c r="E37" s="302"/>
      <c r="F37" s="303"/>
      <c r="G37" s="157"/>
      <c r="H37" s="157"/>
      <c r="I37" s="162"/>
      <c r="J37" s="162"/>
      <c r="K37" s="6"/>
      <c r="L37" s="136"/>
      <c r="M37" s="155"/>
      <c r="N37" s="155"/>
      <c r="O37" s="6"/>
      <c r="P37" s="6"/>
      <c r="Q37" s="6"/>
      <c r="R37" s="6"/>
      <c r="S37" s="43"/>
      <c r="T37" s="163"/>
      <c r="U37" s="163"/>
      <c r="V37" s="164"/>
      <c r="W37" s="164"/>
      <c r="X37" s="150"/>
    </row>
    <row r="38" spans="1:24" ht="20.25" customHeight="1" thickBot="1">
      <c r="A38" s="319" t="s">
        <v>165</v>
      </c>
      <c r="B38" s="320"/>
      <c r="C38" s="320"/>
      <c r="D38" s="320"/>
      <c r="E38" s="320"/>
      <c r="F38" s="321"/>
      <c r="G38" s="22"/>
      <c r="H38" s="22"/>
      <c r="I38" s="34"/>
      <c r="J38" s="34"/>
      <c r="K38" s="22"/>
      <c r="L38" s="23"/>
      <c r="M38" s="136"/>
      <c r="N38" s="23"/>
      <c r="O38" s="22"/>
      <c r="P38" s="22"/>
      <c r="Q38" s="22"/>
      <c r="R38" s="22"/>
      <c r="S38" s="276" t="s">
        <v>37</v>
      </c>
      <c r="T38" s="277"/>
      <c r="U38" s="277"/>
      <c r="V38" s="192">
        <f>V35-V36</f>
        <v>12893</v>
      </c>
      <c r="W38" s="192">
        <f t="shared" ref="W38" si="3">SUM(W36-W37)</f>
        <v>0</v>
      </c>
      <c r="X38" s="151" t="s">
        <v>13</v>
      </c>
    </row>
    <row r="39" spans="1:24" ht="20.25" customHeight="1" thickBot="1">
      <c r="A39" s="322" t="s">
        <v>159</v>
      </c>
      <c r="B39" s="323"/>
      <c r="C39" s="324" t="s">
        <v>168</v>
      </c>
      <c r="D39" s="324"/>
      <c r="E39" s="324"/>
      <c r="F39" s="32" t="s">
        <v>35</v>
      </c>
      <c r="G39" s="240" t="s">
        <v>32</v>
      </c>
      <c r="H39" s="240"/>
      <c r="I39" s="219">
        <v>1200</v>
      </c>
      <c r="J39" s="220"/>
      <c r="K39" s="24" t="s">
        <v>13</v>
      </c>
      <c r="L39" s="25"/>
      <c r="M39" s="35">
        <v>2</v>
      </c>
      <c r="N39" s="25" t="s">
        <v>33</v>
      </c>
      <c r="O39" s="24"/>
      <c r="P39" s="24"/>
      <c r="Q39" s="24"/>
      <c r="R39" s="24"/>
      <c r="S39" s="26"/>
      <c r="T39" s="27"/>
      <c r="U39" s="28"/>
      <c r="V39" s="327">
        <f>I39*M39</f>
        <v>2400</v>
      </c>
      <c r="W39" s="327"/>
      <c r="X39" s="46"/>
    </row>
    <row r="40" spans="1:24" ht="20.25" customHeight="1">
      <c r="A40" s="310"/>
      <c r="B40" s="311"/>
      <c r="C40" s="311"/>
      <c r="D40" s="311"/>
      <c r="E40" s="311"/>
      <c r="F40" s="312"/>
      <c r="G40" s="15"/>
      <c r="H40" s="15"/>
      <c r="I40" s="165"/>
      <c r="J40" s="165"/>
      <c r="K40" s="15"/>
      <c r="L40" s="16"/>
      <c r="M40" s="16"/>
      <c r="N40" s="16"/>
      <c r="O40" s="15"/>
      <c r="P40" s="15"/>
      <c r="Q40" s="15"/>
      <c r="R40" s="15"/>
      <c r="S40" s="29" t="s">
        <v>38</v>
      </c>
      <c r="T40" s="30"/>
      <c r="U40" s="31"/>
      <c r="V40" s="313">
        <f>SUM(V38:W39)</f>
        <v>15293</v>
      </c>
      <c r="W40" s="313"/>
      <c r="X40" s="152" t="s">
        <v>13</v>
      </c>
    </row>
    <row r="41" spans="1:24" ht="19.5" customHeight="1">
      <c r="A41" s="331" t="s">
        <v>99</v>
      </c>
      <c r="B41" s="235"/>
      <c r="C41" s="259"/>
      <c r="D41" s="259"/>
      <c r="E41" s="259"/>
      <c r="F41" s="259"/>
      <c r="G41" s="289"/>
      <c r="H41" s="289"/>
      <c r="I41" s="289"/>
      <c r="J41" s="289"/>
      <c r="K41" s="289"/>
      <c r="L41" s="289"/>
      <c r="M41" s="289"/>
      <c r="N41" s="289"/>
      <c r="O41" s="290"/>
      <c r="P41" s="249" t="s">
        <v>156</v>
      </c>
      <c r="Q41" s="250"/>
      <c r="R41" s="251"/>
      <c r="S41" s="175" t="s">
        <v>45</v>
      </c>
      <c r="T41" s="176"/>
      <c r="U41" s="177"/>
      <c r="V41" s="247">
        <f>SUM(V17,V23,V29,V35)</f>
        <v>130670</v>
      </c>
      <c r="W41" s="247"/>
      <c r="X41" s="44"/>
    </row>
    <row r="42" spans="1:24" ht="19.5" customHeight="1">
      <c r="A42" s="332" t="s">
        <v>167</v>
      </c>
      <c r="B42" s="333"/>
      <c r="C42" s="334"/>
      <c r="D42" s="334"/>
      <c r="E42" s="334"/>
      <c r="F42" s="334"/>
      <c r="G42" s="334"/>
      <c r="H42" s="334"/>
      <c r="I42" s="334"/>
      <c r="J42" s="334"/>
      <c r="K42" s="334"/>
      <c r="L42" s="334"/>
      <c r="M42" s="334"/>
      <c r="N42" s="334"/>
      <c r="O42" s="334"/>
      <c r="P42" s="252"/>
      <c r="Q42" s="253"/>
      <c r="R42" s="254"/>
      <c r="S42" s="173" t="s">
        <v>44</v>
      </c>
      <c r="T42" s="174"/>
      <c r="U42" s="46" t="s">
        <v>23</v>
      </c>
      <c r="V42" s="248">
        <f>SUM(V18,V24,V30,V36)</f>
        <v>4583</v>
      </c>
      <c r="W42" s="248"/>
      <c r="X42" s="45"/>
    </row>
    <row r="43" spans="1:24" ht="19.5" customHeight="1">
      <c r="A43" s="261"/>
      <c r="B43" s="260"/>
      <c r="C43" s="260"/>
      <c r="D43" s="260"/>
      <c r="E43" s="260"/>
      <c r="F43" s="260"/>
      <c r="G43" s="260"/>
      <c r="H43" s="260"/>
      <c r="I43" s="260"/>
      <c r="J43" s="260"/>
      <c r="K43" s="260"/>
      <c r="L43" s="260"/>
      <c r="M43" s="260"/>
      <c r="N43" s="260"/>
      <c r="O43" s="260"/>
      <c r="P43" s="252"/>
      <c r="Q43" s="253"/>
      <c r="R43" s="254"/>
      <c r="S43" s="244" t="s">
        <v>34</v>
      </c>
      <c r="T43" s="244"/>
      <c r="U43" s="244"/>
      <c r="V43" s="264">
        <f>SUM(V41-V42)</f>
        <v>126087</v>
      </c>
      <c r="W43" s="264"/>
      <c r="X43" s="166" t="s">
        <v>13</v>
      </c>
    </row>
    <row r="44" spans="1:24" ht="19.5" customHeight="1">
      <c r="A44" s="261"/>
      <c r="B44" s="260"/>
      <c r="C44" s="260"/>
      <c r="D44" s="260"/>
      <c r="E44" s="260"/>
      <c r="F44" s="260"/>
      <c r="G44" s="260"/>
      <c r="H44" s="260"/>
      <c r="I44" s="260"/>
      <c r="J44" s="260"/>
      <c r="K44" s="260"/>
      <c r="L44" s="260"/>
      <c r="M44" s="260"/>
      <c r="N44" s="260"/>
      <c r="O44" s="260"/>
      <c r="P44" s="252"/>
      <c r="Q44" s="253"/>
      <c r="R44" s="254"/>
      <c r="S44" s="245" t="s">
        <v>40</v>
      </c>
      <c r="T44" s="245"/>
      <c r="U44" s="245"/>
      <c r="V44" s="246">
        <f>SUM(V21,V27,V33,V39)</f>
        <v>3900</v>
      </c>
      <c r="W44" s="246"/>
      <c r="X44" s="47" t="s">
        <v>13</v>
      </c>
    </row>
    <row r="45" spans="1:24" ht="19.5" customHeight="1">
      <c r="A45" s="261"/>
      <c r="B45" s="260"/>
      <c r="C45" s="260"/>
      <c r="D45" s="260"/>
      <c r="E45" s="260"/>
      <c r="F45" s="260"/>
      <c r="G45" s="260"/>
      <c r="H45" s="260"/>
      <c r="I45" s="260"/>
      <c r="J45" s="260"/>
      <c r="K45" s="260"/>
      <c r="L45" s="260"/>
      <c r="M45" s="260"/>
      <c r="N45" s="260"/>
      <c r="O45" s="260"/>
      <c r="P45" s="252"/>
      <c r="Q45" s="253"/>
      <c r="R45" s="254"/>
      <c r="S45" s="279" t="s">
        <v>39</v>
      </c>
      <c r="T45" s="279"/>
      <c r="U45" s="279"/>
      <c r="V45" s="335">
        <f>SUM(V22,V28,V34,V40)</f>
        <v>129987</v>
      </c>
      <c r="W45" s="335"/>
      <c r="X45" s="47" t="s">
        <v>13</v>
      </c>
    </row>
    <row r="46" spans="1:24" ht="19.5" customHeight="1">
      <c r="A46" s="262"/>
      <c r="B46" s="263"/>
      <c r="C46" s="263"/>
      <c r="D46" s="263"/>
      <c r="E46" s="263"/>
      <c r="F46" s="263"/>
      <c r="G46" s="263"/>
      <c r="H46" s="263"/>
      <c r="I46" s="263"/>
      <c r="J46" s="263"/>
      <c r="K46" s="263"/>
      <c r="L46" s="263"/>
      <c r="M46" s="263"/>
      <c r="N46" s="263"/>
      <c r="O46" s="263"/>
      <c r="P46" s="255"/>
      <c r="Q46" s="256"/>
      <c r="R46" s="257"/>
      <c r="S46" s="178" t="s">
        <v>46</v>
      </c>
      <c r="T46" s="179"/>
      <c r="U46" s="180"/>
      <c r="V46" s="181">
        <f>SUM(V41,V44)</f>
        <v>134570</v>
      </c>
      <c r="W46" s="182"/>
      <c r="X46" s="47" t="s">
        <v>13</v>
      </c>
    </row>
    <row r="47" spans="1:24">
      <c r="A47" s="13" t="s">
        <v>42</v>
      </c>
      <c r="B47" s="13"/>
    </row>
    <row r="48" spans="1:24" ht="21" customHeight="1">
      <c r="A48" s="172"/>
      <c r="B48" s="172"/>
      <c r="C48" s="172"/>
      <c r="D48" s="172"/>
      <c r="E48" s="172"/>
      <c r="F48" s="172"/>
      <c r="G48" s="172"/>
      <c r="H48" s="172"/>
      <c r="I48" s="172"/>
      <c r="J48" s="172"/>
      <c r="K48" s="172"/>
      <c r="L48" s="172"/>
      <c r="M48" s="172"/>
      <c r="N48" s="172"/>
      <c r="O48" s="172"/>
      <c r="P48" s="172"/>
      <c r="Q48" s="172"/>
      <c r="R48" s="172"/>
      <c r="S48" s="172"/>
      <c r="T48" s="172"/>
      <c r="U48" s="172"/>
      <c r="V48" s="172"/>
      <c r="W48" s="172"/>
      <c r="X48" s="172"/>
    </row>
    <row r="49" spans="1:31">
      <c r="A49" s="13"/>
      <c r="B49" s="13"/>
      <c r="C49" s="13"/>
      <c r="D49" s="13"/>
      <c r="E49" s="13"/>
      <c r="F49" s="13"/>
      <c r="G49" s="13"/>
      <c r="H49" s="13"/>
      <c r="I49" s="13"/>
      <c r="J49" s="13"/>
      <c r="K49" s="13"/>
      <c r="L49" s="13"/>
      <c r="M49" s="13"/>
      <c r="N49" s="13"/>
      <c r="O49" s="13"/>
      <c r="P49" s="13"/>
      <c r="Q49" s="13"/>
      <c r="R49" s="13"/>
      <c r="S49" s="13"/>
      <c r="T49" s="19" t="s">
        <v>43</v>
      </c>
      <c r="U49" s="18"/>
      <c r="V49" s="18"/>
      <c r="W49" s="18"/>
      <c r="X49" s="18"/>
    </row>
    <row r="50" spans="1:31">
      <c r="A50" s="12"/>
      <c r="B50" s="12"/>
    </row>
    <row r="54" spans="1:31">
      <c r="I54" s="13"/>
      <c r="J54" s="13"/>
      <c r="K54" s="13"/>
      <c r="L54" s="13"/>
      <c r="M54" s="13"/>
      <c r="N54" s="13"/>
      <c r="O54" s="13"/>
      <c r="P54" s="13"/>
      <c r="Q54" s="13"/>
      <c r="R54" s="13"/>
      <c r="S54" s="13"/>
      <c r="T54" s="13"/>
      <c r="U54" s="13"/>
      <c r="V54" s="13"/>
      <c r="W54" s="13"/>
      <c r="X54" s="13"/>
      <c r="Y54" s="13"/>
      <c r="Z54" s="13"/>
      <c r="AA54" s="13"/>
      <c r="AB54" s="13"/>
      <c r="AC54" s="13"/>
      <c r="AD54" s="13"/>
      <c r="AE54" s="13"/>
    </row>
  </sheetData>
  <sheetProtection sheet="1" objects="1" scenarios="1"/>
  <mergeCells count="141">
    <mergeCell ref="A48:X48"/>
    <mergeCell ref="A45:O45"/>
    <mergeCell ref="S45:U45"/>
    <mergeCell ref="V45:W45"/>
    <mergeCell ref="A46:O46"/>
    <mergeCell ref="S46:U46"/>
    <mergeCell ref="V46:W46"/>
    <mergeCell ref="A43:O43"/>
    <mergeCell ref="S43:U43"/>
    <mergeCell ref="V43:W43"/>
    <mergeCell ref="A44:O44"/>
    <mergeCell ref="S44:U44"/>
    <mergeCell ref="V44:W44"/>
    <mergeCell ref="A40:F40"/>
    <mergeCell ref="V40:W40"/>
    <mergeCell ref="A41:B41"/>
    <mergeCell ref="C41:O41"/>
    <mergeCell ref="P41:R46"/>
    <mergeCell ref="S41:U41"/>
    <mergeCell ref="V41:W41"/>
    <mergeCell ref="A42:O42"/>
    <mergeCell ref="S42:T42"/>
    <mergeCell ref="V42:W42"/>
    <mergeCell ref="A38:F38"/>
    <mergeCell ref="S38:U38"/>
    <mergeCell ref="V38:W38"/>
    <mergeCell ref="A39:B39"/>
    <mergeCell ref="C39:E39"/>
    <mergeCell ref="G39:H39"/>
    <mergeCell ref="I39:J39"/>
    <mergeCell ref="V39:W39"/>
    <mergeCell ref="A36:F36"/>
    <mergeCell ref="G36:H36"/>
    <mergeCell ref="I36:J36"/>
    <mergeCell ref="M36:N36"/>
    <mergeCell ref="V36:W36"/>
    <mergeCell ref="A37:F37"/>
    <mergeCell ref="A34:F34"/>
    <mergeCell ref="V34:W34"/>
    <mergeCell ref="A35:F35"/>
    <mergeCell ref="G35:H35"/>
    <mergeCell ref="I35:J35"/>
    <mergeCell ref="N35:O35"/>
    <mergeCell ref="V35:W35"/>
    <mergeCell ref="A32:F32"/>
    <mergeCell ref="S32:U32"/>
    <mergeCell ref="V32:W32"/>
    <mergeCell ref="A33:B33"/>
    <mergeCell ref="C33:E33"/>
    <mergeCell ref="G33:H33"/>
    <mergeCell ref="I33:J33"/>
    <mergeCell ref="V33:W33"/>
    <mergeCell ref="A30:F30"/>
    <mergeCell ref="G30:H30"/>
    <mergeCell ref="I30:J30"/>
    <mergeCell ref="M30:N30"/>
    <mergeCell ref="V30:W30"/>
    <mergeCell ref="A31:F31"/>
    <mergeCell ref="A28:F28"/>
    <mergeCell ref="V28:W28"/>
    <mergeCell ref="A29:F29"/>
    <mergeCell ref="G29:H29"/>
    <mergeCell ref="I29:J29"/>
    <mergeCell ref="N29:O29"/>
    <mergeCell ref="V29:W29"/>
    <mergeCell ref="A26:F26"/>
    <mergeCell ref="S26:U26"/>
    <mergeCell ref="V26:W26"/>
    <mergeCell ref="A27:B27"/>
    <mergeCell ref="C27:E27"/>
    <mergeCell ref="G27:H27"/>
    <mergeCell ref="I27:J27"/>
    <mergeCell ref="V27:W27"/>
    <mergeCell ref="A24:F24"/>
    <mergeCell ref="G24:H24"/>
    <mergeCell ref="I24:J24"/>
    <mergeCell ref="M24:N24"/>
    <mergeCell ref="V24:W24"/>
    <mergeCell ref="A25:F25"/>
    <mergeCell ref="A22:F22"/>
    <mergeCell ref="V22:W22"/>
    <mergeCell ref="A23:F23"/>
    <mergeCell ref="G23:H23"/>
    <mergeCell ref="I23:J23"/>
    <mergeCell ref="N23:O23"/>
    <mergeCell ref="V23:W23"/>
    <mergeCell ref="A20:F20"/>
    <mergeCell ref="S20:U20"/>
    <mergeCell ref="V20:W20"/>
    <mergeCell ref="A21:B21"/>
    <mergeCell ref="C21:E21"/>
    <mergeCell ref="G21:H21"/>
    <mergeCell ref="I21:J21"/>
    <mergeCell ref="V21:W21"/>
    <mergeCell ref="A18:F18"/>
    <mergeCell ref="G18:H18"/>
    <mergeCell ref="I18:J18"/>
    <mergeCell ref="M18:N18"/>
    <mergeCell ref="V18:W18"/>
    <mergeCell ref="A19:F19"/>
    <mergeCell ref="A15:X15"/>
    <mergeCell ref="A16:F16"/>
    <mergeCell ref="G16:R16"/>
    <mergeCell ref="S16:X16"/>
    <mergeCell ref="A17:F17"/>
    <mergeCell ref="G17:H17"/>
    <mergeCell ref="I17:J17"/>
    <mergeCell ref="N17:O17"/>
    <mergeCell ref="V17:W17"/>
    <mergeCell ref="A12:C12"/>
    <mergeCell ref="E12:H12"/>
    <mergeCell ref="K12:M12"/>
    <mergeCell ref="N12:O12"/>
    <mergeCell ref="Q12:R12"/>
    <mergeCell ref="S12:T12"/>
    <mergeCell ref="O7:Q7"/>
    <mergeCell ref="R7:W7"/>
    <mergeCell ref="O8:Q8"/>
    <mergeCell ref="R8:W8"/>
    <mergeCell ref="A11:C11"/>
    <mergeCell ref="D11:H11"/>
    <mergeCell ref="I11:L11"/>
    <mergeCell ref="M11:O11"/>
    <mergeCell ref="Q11:U11"/>
    <mergeCell ref="V11:W11"/>
    <mergeCell ref="A7:B8"/>
    <mergeCell ref="C7:D8"/>
    <mergeCell ref="E7:F8"/>
    <mergeCell ref="G7:H8"/>
    <mergeCell ref="I7:J8"/>
    <mergeCell ref="K7:L8"/>
    <mergeCell ref="I1:P1"/>
    <mergeCell ref="A4:X4"/>
    <mergeCell ref="A6:B6"/>
    <mergeCell ref="C6:D6"/>
    <mergeCell ref="E6:F6"/>
    <mergeCell ref="G6:H6"/>
    <mergeCell ref="I6:J6"/>
    <mergeCell ref="K6:L6"/>
    <mergeCell ref="O6:Q6"/>
    <mergeCell ref="R6:W6"/>
  </mergeCells>
  <phoneticPr fontId="2"/>
  <printOptions horizontalCentered="1" verticalCentered="1"/>
  <pageMargins left="0.39370078740157483" right="0.39370078740157483" top="0.39370078740157483" bottom="0.39370078740157483" header="0" footer="0"/>
  <pageSetup paperSize="9" scale="82" orientation="portrait" cellComments="asDisplayed"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9F6AF-AF1F-4FDF-9021-5771A40D9560}">
  <dimension ref="A1:M413"/>
  <sheetViews>
    <sheetView view="pageBreakPreview" zoomScaleNormal="100" zoomScaleSheetLayoutView="100" workbookViewId="0">
      <selection activeCell="R24" sqref="R24"/>
    </sheetView>
  </sheetViews>
  <sheetFormatPr baseColWidth="10" defaultColWidth="9" defaultRowHeight="14"/>
  <cols>
    <col min="1" max="1" width="6" style="56" customWidth="1"/>
    <col min="2" max="3" width="10.33203125" style="56" customWidth="1"/>
    <col min="4" max="10" width="9.1640625" style="56" customWidth="1"/>
    <col min="11" max="11" width="9.6640625" style="56" customWidth="1"/>
    <col min="12" max="12" width="13.33203125" style="56" customWidth="1"/>
    <col min="13" max="16384" width="9" style="56"/>
  </cols>
  <sheetData>
    <row r="1" spans="1:13" ht="30" customHeight="1">
      <c r="B1" s="336" t="s">
        <v>155</v>
      </c>
      <c r="C1" s="336"/>
      <c r="D1" s="336"/>
      <c r="E1" s="336"/>
      <c r="F1" s="336"/>
      <c r="G1" s="336"/>
      <c r="H1" s="336"/>
      <c r="I1" s="336"/>
      <c r="J1" s="336"/>
      <c r="K1" s="336"/>
      <c r="L1" s="336"/>
      <c r="M1" s="57"/>
    </row>
    <row r="2" spans="1:13" ht="30" customHeight="1" thickBot="1">
      <c r="B2" s="351" t="s">
        <v>154</v>
      </c>
      <c r="C2" s="351"/>
      <c r="D2" s="351"/>
      <c r="E2" s="351"/>
      <c r="F2" s="351"/>
      <c r="G2" s="351"/>
      <c r="H2" s="351"/>
      <c r="I2" s="351"/>
      <c r="J2" s="351"/>
      <c r="K2" s="351"/>
      <c r="L2" s="351"/>
    </row>
    <row r="3" spans="1:13" s="58" customFormat="1" ht="22.5" customHeight="1">
      <c r="B3" s="59" t="s">
        <v>47</v>
      </c>
      <c r="C3" s="60"/>
      <c r="D3" s="61" t="s">
        <v>48</v>
      </c>
      <c r="E3" s="62"/>
      <c r="F3" s="62"/>
      <c r="G3" s="62"/>
      <c r="H3" s="62"/>
      <c r="I3" s="62"/>
      <c r="J3" s="62"/>
      <c r="K3" s="62"/>
      <c r="L3" s="63" t="s">
        <v>49</v>
      </c>
    </row>
    <row r="4" spans="1:13" s="58" customFormat="1" ht="22.5" customHeight="1">
      <c r="B4" s="64" t="s">
        <v>50</v>
      </c>
      <c r="C4" s="65"/>
      <c r="D4" s="66" t="s">
        <v>51</v>
      </c>
      <c r="E4" s="67"/>
      <c r="F4" s="67"/>
      <c r="G4" s="67"/>
      <c r="H4" s="67"/>
      <c r="I4" s="67"/>
      <c r="J4" s="67"/>
      <c r="K4" s="67"/>
      <c r="L4" s="68" t="s">
        <v>52</v>
      </c>
    </row>
    <row r="5" spans="1:13" s="58" customFormat="1" ht="22.5" customHeight="1">
      <c r="B5" s="69" t="s">
        <v>53</v>
      </c>
      <c r="C5" s="70"/>
      <c r="D5" s="71" t="s">
        <v>54</v>
      </c>
      <c r="E5" s="71" t="s">
        <v>55</v>
      </c>
      <c r="F5" s="71" t="s">
        <v>56</v>
      </c>
      <c r="G5" s="71" t="s">
        <v>57</v>
      </c>
      <c r="H5" s="71" t="s">
        <v>58</v>
      </c>
      <c r="I5" s="71" t="s">
        <v>59</v>
      </c>
      <c r="J5" s="71" t="s">
        <v>60</v>
      </c>
      <c r="K5" s="71" t="s">
        <v>61</v>
      </c>
      <c r="L5" s="72"/>
    </row>
    <row r="6" spans="1:13" s="58" customFormat="1" ht="22.5" customHeight="1">
      <c r="B6" s="73" t="s">
        <v>62</v>
      </c>
      <c r="C6" s="71" t="s">
        <v>63</v>
      </c>
      <c r="D6" s="74" t="s">
        <v>64</v>
      </c>
      <c r="E6" s="74"/>
      <c r="F6" s="74"/>
      <c r="G6" s="74"/>
      <c r="H6" s="74"/>
      <c r="I6" s="74"/>
      <c r="J6" s="74"/>
      <c r="K6" s="74"/>
      <c r="L6" s="75" t="s">
        <v>65</v>
      </c>
    </row>
    <row r="7" spans="1:13" s="58" customFormat="1">
      <c r="B7" s="76" t="s">
        <v>66</v>
      </c>
      <c r="C7" s="77" t="s">
        <v>66</v>
      </c>
      <c r="D7" s="77" t="s">
        <v>66</v>
      </c>
      <c r="E7" s="77" t="s">
        <v>66</v>
      </c>
      <c r="F7" s="77" t="s">
        <v>66</v>
      </c>
      <c r="G7" s="77" t="s">
        <v>66</v>
      </c>
      <c r="H7" s="77" t="s">
        <v>66</v>
      </c>
      <c r="I7" s="77" t="s">
        <v>66</v>
      </c>
      <c r="J7" s="77" t="s">
        <v>66</v>
      </c>
      <c r="K7" s="77" t="s">
        <v>66</v>
      </c>
      <c r="L7" s="78" t="s">
        <v>66</v>
      </c>
    </row>
    <row r="8" spans="1:13" s="58" customFormat="1" ht="65.25" customHeight="1">
      <c r="B8" s="79">
        <v>105000</v>
      </c>
      <c r="C8" s="149" t="s">
        <v>67</v>
      </c>
      <c r="D8" s="80">
        <v>0</v>
      </c>
      <c r="E8" s="80">
        <v>0</v>
      </c>
      <c r="F8" s="80">
        <v>0</v>
      </c>
      <c r="G8" s="80">
        <v>0</v>
      </c>
      <c r="H8" s="80">
        <v>0</v>
      </c>
      <c r="I8" s="80">
        <v>0</v>
      </c>
      <c r="J8" s="80">
        <v>0</v>
      </c>
      <c r="K8" s="80">
        <v>0</v>
      </c>
      <c r="L8" s="148" t="s">
        <v>68</v>
      </c>
    </row>
    <row r="9" spans="1:13" s="58" customFormat="1" ht="13.5" customHeight="1">
      <c r="B9" s="79"/>
      <c r="C9" s="80"/>
      <c r="D9" s="80"/>
      <c r="E9" s="80"/>
      <c r="F9" s="80"/>
      <c r="G9" s="80"/>
      <c r="H9" s="80"/>
      <c r="I9" s="80"/>
      <c r="J9" s="80"/>
      <c r="K9" s="80"/>
      <c r="L9" s="81"/>
    </row>
    <row r="10" spans="1:13">
      <c r="A10" s="82">
        <v>1</v>
      </c>
      <c r="B10" s="144">
        <v>105000</v>
      </c>
      <c r="C10" s="83">
        <v>107000</v>
      </c>
      <c r="D10" s="83">
        <v>170</v>
      </c>
      <c r="E10" s="83">
        <v>0</v>
      </c>
      <c r="F10" s="83">
        <v>0</v>
      </c>
      <c r="G10" s="83">
        <v>0</v>
      </c>
      <c r="H10" s="83">
        <v>0</v>
      </c>
      <c r="I10" s="83">
        <v>0</v>
      </c>
      <c r="J10" s="83">
        <v>0</v>
      </c>
      <c r="K10" s="83">
        <v>0</v>
      </c>
      <c r="L10" s="143">
        <v>3800</v>
      </c>
    </row>
    <row r="11" spans="1:13">
      <c r="A11" s="82">
        <v>2</v>
      </c>
      <c r="B11" s="144">
        <v>107000</v>
      </c>
      <c r="C11" s="83">
        <v>109000</v>
      </c>
      <c r="D11" s="83">
        <v>280</v>
      </c>
      <c r="E11" s="83">
        <v>0</v>
      </c>
      <c r="F11" s="83">
        <v>0</v>
      </c>
      <c r="G11" s="83">
        <v>0</v>
      </c>
      <c r="H11" s="83">
        <v>0</v>
      </c>
      <c r="I11" s="83">
        <v>0</v>
      </c>
      <c r="J11" s="83">
        <v>0</v>
      </c>
      <c r="K11" s="83">
        <v>0</v>
      </c>
      <c r="L11" s="143">
        <v>3800</v>
      </c>
    </row>
    <row r="12" spans="1:13">
      <c r="A12" s="82">
        <v>3</v>
      </c>
      <c r="B12" s="144">
        <v>109000</v>
      </c>
      <c r="C12" s="83">
        <v>111000</v>
      </c>
      <c r="D12" s="83">
        <v>380</v>
      </c>
      <c r="E12" s="83">
        <v>0</v>
      </c>
      <c r="F12" s="83">
        <v>0</v>
      </c>
      <c r="G12" s="83">
        <v>0</v>
      </c>
      <c r="H12" s="83">
        <v>0</v>
      </c>
      <c r="I12" s="83">
        <v>0</v>
      </c>
      <c r="J12" s="83">
        <v>0</v>
      </c>
      <c r="K12" s="83">
        <v>0</v>
      </c>
      <c r="L12" s="143">
        <v>3900</v>
      </c>
    </row>
    <row r="13" spans="1:13">
      <c r="A13" s="82">
        <v>4</v>
      </c>
      <c r="B13" s="144">
        <v>111000</v>
      </c>
      <c r="C13" s="83">
        <v>113000</v>
      </c>
      <c r="D13" s="83">
        <v>480</v>
      </c>
      <c r="E13" s="83">
        <v>0</v>
      </c>
      <c r="F13" s="83">
        <v>0</v>
      </c>
      <c r="G13" s="83">
        <v>0</v>
      </c>
      <c r="H13" s="83">
        <v>0</v>
      </c>
      <c r="I13" s="83">
        <v>0</v>
      </c>
      <c r="J13" s="83">
        <v>0</v>
      </c>
      <c r="K13" s="83">
        <v>0</v>
      </c>
      <c r="L13" s="143">
        <v>4000</v>
      </c>
    </row>
    <row r="14" spans="1:13">
      <c r="A14" s="82">
        <v>5</v>
      </c>
      <c r="B14" s="144">
        <v>113000</v>
      </c>
      <c r="C14" s="83">
        <v>115000</v>
      </c>
      <c r="D14" s="83">
        <v>580</v>
      </c>
      <c r="E14" s="83">
        <v>0</v>
      </c>
      <c r="F14" s="83">
        <v>0</v>
      </c>
      <c r="G14" s="83">
        <v>0</v>
      </c>
      <c r="H14" s="83">
        <v>0</v>
      </c>
      <c r="I14" s="83">
        <v>0</v>
      </c>
      <c r="J14" s="83">
        <v>0</v>
      </c>
      <c r="K14" s="83">
        <v>0</v>
      </c>
      <c r="L14" s="143">
        <v>4100</v>
      </c>
    </row>
    <row r="15" spans="1:13">
      <c r="A15" s="82"/>
      <c r="B15" s="144"/>
      <c r="C15" s="83"/>
      <c r="D15" s="83"/>
      <c r="E15" s="83"/>
      <c r="F15" s="83"/>
      <c r="G15" s="83"/>
      <c r="H15" s="83"/>
      <c r="I15" s="83"/>
      <c r="J15" s="83"/>
      <c r="K15" s="83"/>
      <c r="L15" s="143"/>
    </row>
    <row r="16" spans="1:13">
      <c r="A16" s="82">
        <v>6</v>
      </c>
      <c r="B16" s="144">
        <v>115000</v>
      </c>
      <c r="C16" s="83">
        <v>117000</v>
      </c>
      <c r="D16" s="83">
        <v>680</v>
      </c>
      <c r="E16" s="83">
        <v>0</v>
      </c>
      <c r="F16" s="83">
        <v>0</v>
      </c>
      <c r="G16" s="83">
        <v>0</v>
      </c>
      <c r="H16" s="83">
        <v>0</v>
      </c>
      <c r="I16" s="83">
        <v>0</v>
      </c>
      <c r="J16" s="83">
        <v>0</v>
      </c>
      <c r="K16" s="83">
        <v>0</v>
      </c>
      <c r="L16" s="143">
        <v>4100</v>
      </c>
    </row>
    <row r="17" spans="1:12">
      <c r="A17" s="82">
        <v>7</v>
      </c>
      <c r="B17" s="144">
        <v>117000</v>
      </c>
      <c r="C17" s="83">
        <v>119000</v>
      </c>
      <c r="D17" s="83">
        <v>790</v>
      </c>
      <c r="E17" s="83">
        <v>0</v>
      </c>
      <c r="F17" s="83">
        <v>0</v>
      </c>
      <c r="G17" s="83">
        <v>0</v>
      </c>
      <c r="H17" s="83">
        <v>0</v>
      </c>
      <c r="I17" s="83">
        <v>0</v>
      </c>
      <c r="J17" s="83">
        <v>0</v>
      </c>
      <c r="K17" s="83">
        <v>0</v>
      </c>
      <c r="L17" s="143">
        <v>4200</v>
      </c>
    </row>
    <row r="18" spans="1:12">
      <c r="A18" s="82">
        <v>8</v>
      </c>
      <c r="B18" s="144">
        <v>119000</v>
      </c>
      <c r="C18" s="83">
        <v>121000</v>
      </c>
      <c r="D18" s="83">
        <v>890</v>
      </c>
      <c r="E18" s="83">
        <v>0</v>
      </c>
      <c r="F18" s="83">
        <v>0</v>
      </c>
      <c r="G18" s="83">
        <v>0</v>
      </c>
      <c r="H18" s="83">
        <v>0</v>
      </c>
      <c r="I18" s="83">
        <v>0</v>
      </c>
      <c r="J18" s="83">
        <v>0</v>
      </c>
      <c r="K18" s="83">
        <v>0</v>
      </c>
      <c r="L18" s="143">
        <v>4300</v>
      </c>
    </row>
    <row r="19" spans="1:12">
      <c r="A19" s="82">
        <v>9</v>
      </c>
      <c r="B19" s="144">
        <v>121000</v>
      </c>
      <c r="C19" s="83">
        <v>123000</v>
      </c>
      <c r="D19" s="83">
        <v>990</v>
      </c>
      <c r="E19" s="83">
        <v>0</v>
      </c>
      <c r="F19" s="83">
        <v>0</v>
      </c>
      <c r="G19" s="83">
        <v>0</v>
      </c>
      <c r="H19" s="83">
        <v>0</v>
      </c>
      <c r="I19" s="83">
        <v>0</v>
      </c>
      <c r="J19" s="83">
        <v>0</v>
      </c>
      <c r="K19" s="83">
        <v>0</v>
      </c>
      <c r="L19" s="143">
        <v>4300</v>
      </c>
    </row>
    <row r="20" spans="1:12">
      <c r="A20" s="82">
        <v>10</v>
      </c>
      <c r="B20" s="144">
        <v>123000</v>
      </c>
      <c r="C20" s="83">
        <v>125000</v>
      </c>
      <c r="D20" s="83">
        <v>1090</v>
      </c>
      <c r="E20" s="83">
        <v>0</v>
      </c>
      <c r="F20" s="83">
        <v>0</v>
      </c>
      <c r="G20" s="83">
        <v>0</v>
      </c>
      <c r="H20" s="83">
        <v>0</v>
      </c>
      <c r="I20" s="83">
        <v>0</v>
      </c>
      <c r="J20" s="83">
        <v>0</v>
      </c>
      <c r="K20" s="83">
        <v>0</v>
      </c>
      <c r="L20" s="143">
        <v>4400</v>
      </c>
    </row>
    <row r="21" spans="1:12">
      <c r="A21" s="82"/>
      <c r="B21" s="144"/>
      <c r="C21" s="83"/>
      <c r="D21" s="83"/>
      <c r="E21" s="83"/>
      <c r="F21" s="83"/>
      <c r="G21" s="83"/>
      <c r="H21" s="83"/>
      <c r="I21" s="83"/>
      <c r="J21" s="83"/>
      <c r="K21" s="83"/>
      <c r="L21" s="143"/>
    </row>
    <row r="22" spans="1:12">
      <c r="A22" s="82">
        <v>11</v>
      </c>
      <c r="B22" s="144">
        <v>125000</v>
      </c>
      <c r="C22" s="83">
        <v>127000</v>
      </c>
      <c r="D22" s="83">
        <v>1190</v>
      </c>
      <c r="E22" s="83">
        <v>0</v>
      </c>
      <c r="F22" s="83">
        <v>0</v>
      </c>
      <c r="G22" s="83">
        <v>0</v>
      </c>
      <c r="H22" s="83">
        <v>0</v>
      </c>
      <c r="I22" s="83">
        <v>0</v>
      </c>
      <c r="J22" s="83">
        <v>0</v>
      </c>
      <c r="K22" s="83">
        <v>0</v>
      </c>
      <c r="L22" s="143">
        <v>4700</v>
      </c>
    </row>
    <row r="23" spans="1:12">
      <c r="A23" s="82">
        <v>12</v>
      </c>
      <c r="B23" s="144">
        <v>127000</v>
      </c>
      <c r="C23" s="83">
        <v>129000</v>
      </c>
      <c r="D23" s="83">
        <v>1300</v>
      </c>
      <c r="E23" s="83">
        <v>0</v>
      </c>
      <c r="F23" s="83">
        <v>0</v>
      </c>
      <c r="G23" s="83">
        <v>0</v>
      </c>
      <c r="H23" s="83">
        <v>0</v>
      </c>
      <c r="I23" s="83">
        <v>0</v>
      </c>
      <c r="J23" s="83">
        <v>0</v>
      </c>
      <c r="K23" s="83">
        <v>0</v>
      </c>
      <c r="L23" s="143">
        <v>5000</v>
      </c>
    </row>
    <row r="24" spans="1:12">
      <c r="A24" s="82">
        <v>13</v>
      </c>
      <c r="B24" s="144">
        <v>129000</v>
      </c>
      <c r="C24" s="83">
        <v>131000</v>
      </c>
      <c r="D24" s="83">
        <v>1400</v>
      </c>
      <c r="E24" s="83">
        <v>0</v>
      </c>
      <c r="F24" s="83">
        <v>0</v>
      </c>
      <c r="G24" s="83">
        <v>0</v>
      </c>
      <c r="H24" s="83">
        <v>0</v>
      </c>
      <c r="I24" s="83">
        <v>0</v>
      </c>
      <c r="J24" s="83">
        <v>0</v>
      </c>
      <c r="K24" s="83">
        <v>0</v>
      </c>
      <c r="L24" s="143">
        <v>5300</v>
      </c>
    </row>
    <row r="25" spans="1:12">
      <c r="A25" s="82">
        <v>14</v>
      </c>
      <c r="B25" s="144">
        <v>131000</v>
      </c>
      <c r="C25" s="83">
        <v>133000</v>
      </c>
      <c r="D25" s="83">
        <v>1500</v>
      </c>
      <c r="E25" s="83">
        <v>0</v>
      </c>
      <c r="F25" s="83">
        <v>0</v>
      </c>
      <c r="G25" s="83">
        <v>0</v>
      </c>
      <c r="H25" s="83">
        <v>0</v>
      </c>
      <c r="I25" s="83">
        <v>0</v>
      </c>
      <c r="J25" s="83">
        <v>0</v>
      </c>
      <c r="K25" s="83">
        <v>0</v>
      </c>
      <c r="L25" s="143">
        <v>5500</v>
      </c>
    </row>
    <row r="26" spans="1:12">
      <c r="A26" s="82">
        <v>15</v>
      </c>
      <c r="B26" s="144">
        <v>133000</v>
      </c>
      <c r="C26" s="83">
        <v>135000</v>
      </c>
      <c r="D26" s="83">
        <v>1600</v>
      </c>
      <c r="E26" s="83">
        <v>0</v>
      </c>
      <c r="F26" s="83">
        <v>0</v>
      </c>
      <c r="G26" s="83">
        <v>0</v>
      </c>
      <c r="H26" s="83">
        <v>0</v>
      </c>
      <c r="I26" s="83">
        <v>0</v>
      </c>
      <c r="J26" s="83">
        <v>0</v>
      </c>
      <c r="K26" s="83">
        <v>0</v>
      </c>
      <c r="L26" s="143">
        <v>5800</v>
      </c>
    </row>
    <row r="27" spans="1:12">
      <c r="A27" s="82"/>
      <c r="B27" s="144"/>
      <c r="C27" s="83"/>
      <c r="D27" s="83"/>
      <c r="E27" s="83"/>
      <c r="F27" s="83"/>
      <c r="G27" s="83"/>
      <c r="H27" s="83"/>
      <c r="I27" s="83"/>
      <c r="J27" s="83"/>
      <c r="K27" s="83"/>
      <c r="L27" s="143"/>
    </row>
    <row r="28" spans="1:12">
      <c r="A28" s="82">
        <v>16</v>
      </c>
      <c r="B28" s="144">
        <v>135000</v>
      </c>
      <c r="C28" s="83">
        <v>137000</v>
      </c>
      <c r="D28" s="83">
        <v>1710</v>
      </c>
      <c r="E28" s="83">
        <v>0</v>
      </c>
      <c r="F28" s="83">
        <v>0</v>
      </c>
      <c r="G28" s="83">
        <v>0</v>
      </c>
      <c r="H28" s="83">
        <v>0</v>
      </c>
      <c r="I28" s="83">
        <v>0</v>
      </c>
      <c r="J28" s="83">
        <v>0</v>
      </c>
      <c r="K28" s="83">
        <v>0</v>
      </c>
      <c r="L28" s="143">
        <v>6100</v>
      </c>
    </row>
    <row r="29" spans="1:12">
      <c r="A29" s="82">
        <v>17</v>
      </c>
      <c r="B29" s="144">
        <v>137000</v>
      </c>
      <c r="C29" s="83">
        <v>139000</v>
      </c>
      <c r="D29" s="83">
        <v>1810</v>
      </c>
      <c r="E29" s="83">
        <v>190</v>
      </c>
      <c r="F29" s="83">
        <v>0</v>
      </c>
      <c r="G29" s="83">
        <v>0</v>
      </c>
      <c r="H29" s="83">
        <v>0</v>
      </c>
      <c r="I29" s="83">
        <v>0</v>
      </c>
      <c r="J29" s="83">
        <v>0</v>
      </c>
      <c r="K29" s="83">
        <v>0</v>
      </c>
      <c r="L29" s="143">
        <v>6400</v>
      </c>
    </row>
    <row r="30" spans="1:12">
      <c r="A30" s="82">
        <v>18</v>
      </c>
      <c r="B30" s="144">
        <v>139000</v>
      </c>
      <c r="C30" s="83">
        <v>141000</v>
      </c>
      <c r="D30" s="83">
        <v>1910</v>
      </c>
      <c r="E30" s="83">
        <v>300</v>
      </c>
      <c r="F30" s="83">
        <v>0</v>
      </c>
      <c r="G30" s="83">
        <v>0</v>
      </c>
      <c r="H30" s="83">
        <v>0</v>
      </c>
      <c r="I30" s="83">
        <v>0</v>
      </c>
      <c r="J30" s="83">
        <v>0</v>
      </c>
      <c r="K30" s="83">
        <v>0</v>
      </c>
      <c r="L30" s="143">
        <v>6700</v>
      </c>
    </row>
    <row r="31" spans="1:12">
      <c r="A31" s="82">
        <v>19</v>
      </c>
      <c r="B31" s="144">
        <v>141000</v>
      </c>
      <c r="C31" s="83">
        <v>143000</v>
      </c>
      <c r="D31" s="83">
        <v>2010</v>
      </c>
      <c r="E31" s="83">
        <v>400</v>
      </c>
      <c r="F31" s="83">
        <v>0</v>
      </c>
      <c r="G31" s="83">
        <v>0</v>
      </c>
      <c r="H31" s="83">
        <v>0</v>
      </c>
      <c r="I31" s="83">
        <v>0</v>
      </c>
      <c r="J31" s="83">
        <v>0</v>
      </c>
      <c r="K31" s="83">
        <v>0</v>
      </c>
      <c r="L31" s="143">
        <v>7000</v>
      </c>
    </row>
    <row r="32" spans="1:12">
      <c r="A32" s="82">
        <v>20</v>
      </c>
      <c r="B32" s="144">
        <v>143000</v>
      </c>
      <c r="C32" s="83">
        <v>145000</v>
      </c>
      <c r="D32" s="83">
        <v>2110</v>
      </c>
      <c r="E32" s="83">
        <v>500</v>
      </c>
      <c r="F32" s="83">
        <v>0</v>
      </c>
      <c r="G32" s="83">
        <v>0</v>
      </c>
      <c r="H32" s="83">
        <v>0</v>
      </c>
      <c r="I32" s="83">
        <v>0</v>
      </c>
      <c r="J32" s="83">
        <v>0</v>
      </c>
      <c r="K32" s="83">
        <v>0</v>
      </c>
      <c r="L32" s="143">
        <v>7400</v>
      </c>
    </row>
    <row r="33" spans="1:12">
      <c r="A33" s="82"/>
      <c r="B33" s="144"/>
      <c r="C33" s="83"/>
      <c r="D33" s="83"/>
      <c r="E33" s="83"/>
      <c r="F33" s="83"/>
      <c r="G33" s="83"/>
      <c r="H33" s="83"/>
      <c r="I33" s="83"/>
      <c r="J33" s="83"/>
      <c r="K33" s="83"/>
      <c r="L33" s="143"/>
    </row>
    <row r="34" spans="1:12">
      <c r="A34" s="82">
        <v>21</v>
      </c>
      <c r="B34" s="144">
        <v>145000</v>
      </c>
      <c r="C34" s="83">
        <v>147000</v>
      </c>
      <c r="D34" s="83">
        <v>2220</v>
      </c>
      <c r="E34" s="83">
        <v>600</v>
      </c>
      <c r="F34" s="83">
        <v>0</v>
      </c>
      <c r="G34" s="83">
        <v>0</v>
      </c>
      <c r="H34" s="83">
        <v>0</v>
      </c>
      <c r="I34" s="83">
        <v>0</v>
      </c>
      <c r="J34" s="83">
        <v>0</v>
      </c>
      <c r="K34" s="83">
        <v>0</v>
      </c>
      <c r="L34" s="143">
        <v>7700</v>
      </c>
    </row>
    <row r="35" spans="1:12">
      <c r="A35" s="82">
        <v>22</v>
      </c>
      <c r="B35" s="144">
        <v>147000</v>
      </c>
      <c r="C35" s="83">
        <v>149000</v>
      </c>
      <c r="D35" s="83">
        <v>2320</v>
      </c>
      <c r="E35" s="83">
        <v>700</v>
      </c>
      <c r="F35" s="83">
        <v>0</v>
      </c>
      <c r="G35" s="83">
        <v>0</v>
      </c>
      <c r="H35" s="83">
        <v>0</v>
      </c>
      <c r="I35" s="83">
        <v>0</v>
      </c>
      <c r="J35" s="83">
        <v>0</v>
      </c>
      <c r="K35" s="83">
        <v>0</v>
      </c>
      <c r="L35" s="143">
        <v>8000</v>
      </c>
    </row>
    <row r="36" spans="1:12">
      <c r="A36" s="82">
        <v>23</v>
      </c>
      <c r="B36" s="144">
        <v>149000</v>
      </c>
      <c r="C36" s="83">
        <v>151000</v>
      </c>
      <c r="D36" s="83">
        <v>2420</v>
      </c>
      <c r="E36" s="83">
        <v>810</v>
      </c>
      <c r="F36" s="83">
        <v>0</v>
      </c>
      <c r="G36" s="83">
        <v>0</v>
      </c>
      <c r="H36" s="83">
        <v>0</v>
      </c>
      <c r="I36" s="83">
        <v>0</v>
      </c>
      <c r="J36" s="83">
        <v>0</v>
      </c>
      <c r="K36" s="83">
        <v>0</v>
      </c>
      <c r="L36" s="143">
        <v>8300</v>
      </c>
    </row>
    <row r="37" spans="1:12">
      <c r="A37" s="82">
        <v>24</v>
      </c>
      <c r="B37" s="144">
        <v>151000</v>
      </c>
      <c r="C37" s="83">
        <v>153000</v>
      </c>
      <c r="D37" s="83">
        <v>2520</v>
      </c>
      <c r="E37" s="83">
        <v>910</v>
      </c>
      <c r="F37" s="83">
        <v>0</v>
      </c>
      <c r="G37" s="83">
        <v>0</v>
      </c>
      <c r="H37" s="83">
        <v>0</v>
      </c>
      <c r="I37" s="83">
        <v>0</v>
      </c>
      <c r="J37" s="83">
        <v>0</v>
      </c>
      <c r="K37" s="83">
        <v>0</v>
      </c>
      <c r="L37" s="143">
        <v>8600</v>
      </c>
    </row>
    <row r="38" spans="1:12">
      <c r="A38" s="82">
        <v>25</v>
      </c>
      <c r="B38" s="144">
        <v>153000</v>
      </c>
      <c r="C38" s="83">
        <v>155000</v>
      </c>
      <c r="D38" s="83">
        <v>2620</v>
      </c>
      <c r="E38" s="83">
        <v>1010</v>
      </c>
      <c r="F38" s="83">
        <v>0</v>
      </c>
      <c r="G38" s="83">
        <v>0</v>
      </c>
      <c r="H38" s="83">
        <v>0</v>
      </c>
      <c r="I38" s="83">
        <v>0</v>
      </c>
      <c r="J38" s="83">
        <v>0</v>
      </c>
      <c r="K38" s="83">
        <v>0</v>
      </c>
      <c r="L38" s="143">
        <v>8900</v>
      </c>
    </row>
    <row r="39" spans="1:12">
      <c r="A39" s="82"/>
      <c r="B39" s="144"/>
      <c r="C39" s="83"/>
      <c r="D39" s="83"/>
      <c r="E39" s="83"/>
      <c r="F39" s="83"/>
      <c r="G39" s="83"/>
      <c r="H39" s="83"/>
      <c r="I39" s="83"/>
      <c r="J39" s="83"/>
      <c r="K39" s="83"/>
      <c r="L39" s="143"/>
    </row>
    <row r="40" spans="1:12">
      <c r="A40" s="82">
        <v>26</v>
      </c>
      <c r="B40" s="144">
        <v>155000</v>
      </c>
      <c r="C40" s="83">
        <v>157000</v>
      </c>
      <c r="D40" s="83">
        <v>2730</v>
      </c>
      <c r="E40" s="83">
        <v>1110</v>
      </c>
      <c r="F40" s="83">
        <v>0</v>
      </c>
      <c r="G40" s="83">
        <v>0</v>
      </c>
      <c r="H40" s="83">
        <v>0</v>
      </c>
      <c r="I40" s="83">
        <v>0</v>
      </c>
      <c r="J40" s="83">
        <v>0</v>
      </c>
      <c r="K40" s="83">
        <v>0</v>
      </c>
      <c r="L40" s="143">
        <v>9200</v>
      </c>
    </row>
    <row r="41" spans="1:12">
      <c r="A41" s="82">
        <v>27</v>
      </c>
      <c r="B41" s="144">
        <v>157000</v>
      </c>
      <c r="C41" s="83">
        <v>159000</v>
      </c>
      <c r="D41" s="83">
        <v>2830</v>
      </c>
      <c r="E41" s="83">
        <v>1210</v>
      </c>
      <c r="F41" s="83">
        <v>0</v>
      </c>
      <c r="G41" s="83">
        <v>0</v>
      </c>
      <c r="H41" s="83">
        <v>0</v>
      </c>
      <c r="I41" s="83">
        <v>0</v>
      </c>
      <c r="J41" s="83">
        <v>0</v>
      </c>
      <c r="K41" s="83">
        <v>0</v>
      </c>
      <c r="L41" s="143">
        <v>9500</v>
      </c>
    </row>
    <row r="42" spans="1:12">
      <c r="A42" s="82">
        <v>28</v>
      </c>
      <c r="B42" s="144">
        <v>159000</v>
      </c>
      <c r="C42" s="83">
        <v>161000</v>
      </c>
      <c r="D42" s="83">
        <v>2910</v>
      </c>
      <c r="E42" s="83">
        <v>1300</v>
      </c>
      <c r="F42" s="83">
        <v>0</v>
      </c>
      <c r="G42" s="83">
        <v>0</v>
      </c>
      <c r="H42" s="83">
        <v>0</v>
      </c>
      <c r="I42" s="83">
        <v>0</v>
      </c>
      <c r="J42" s="83">
        <v>0</v>
      </c>
      <c r="K42" s="83">
        <v>0</v>
      </c>
      <c r="L42" s="143">
        <v>9800</v>
      </c>
    </row>
    <row r="43" spans="1:12">
      <c r="A43" s="82">
        <v>29</v>
      </c>
      <c r="B43" s="144">
        <v>161000</v>
      </c>
      <c r="C43" s="83">
        <v>163000</v>
      </c>
      <c r="D43" s="83">
        <v>2980</v>
      </c>
      <c r="E43" s="83">
        <v>1370</v>
      </c>
      <c r="F43" s="83">
        <v>0</v>
      </c>
      <c r="G43" s="83">
        <v>0</v>
      </c>
      <c r="H43" s="83">
        <v>0</v>
      </c>
      <c r="I43" s="83">
        <v>0</v>
      </c>
      <c r="J43" s="83">
        <v>0</v>
      </c>
      <c r="K43" s="83">
        <v>0</v>
      </c>
      <c r="L43" s="143">
        <v>10100</v>
      </c>
    </row>
    <row r="44" spans="1:12">
      <c r="A44" s="82">
        <v>30</v>
      </c>
      <c r="B44" s="144">
        <v>163000</v>
      </c>
      <c r="C44" s="83">
        <v>165000</v>
      </c>
      <c r="D44" s="83">
        <v>3050</v>
      </c>
      <c r="E44" s="83">
        <v>1440</v>
      </c>
      <c r="F44" s="83">
        <v>0</v>
      </c>
      <c r="G44" s="83">
        <v>0</v>
      </c>
      <c r="H44" s="83">
        <v>0</v>
      </c>
      <c r="I44" s="83">
        <v>0</v>
      </c>
      <c r="J44" s="83">
        <v>0</v>
      </c>
      <c r="K44" s="83">
        <v>0</v>
      </c>
      <c r="L44" s="143">
        <v>10400</v>
      </c>
    </row>
    <row r="45" spans="1:12">
      <c r="A45" s="82"/>
      <c r="B45" s="144"/>
      <c r="C45" s="83"/>
      <c r="D45" s="83"/>
      <c r="E45" s="83"/>
      <c r="F45" s="83"/>
      <c r="G45" s="83"/>
      <c r="H45" s="83"/>
      <c r="I45" s="83"/>
      <c r="J45" s="83"/>
      <c r="K45" s="83"/>
      <c r="L45" s="143"/>
    </row>
    <row r="46" spans="1:12">
      <c r="A46" s="82">
        <v>31</v>
      </c>
      <c r="B46" s="144">
        <v>165000</v>
      </c>
      <c r="C46" s="83">
        <v>167000</v>
      </c>
      <c r="D46" s="83">
        <v>3120</v>
      </c>
      <c r="E46" s="83">
        <v>1510</v>
      </c>
      <c r="F46" s="83">
        <v>0</v>
      </c>
      <c r="G46" s="83">
        <v>0</v>
      </c>
      <c r="H46" s="83">
        <v>0</v>
      </c>
      <c r="I46" s="83">
        <v>0</v>
      </c>
      <c r="J46" s="83">
        <v>0</v>
      </c>
      <c r="K46" s="83">
        <v>0</v>
      </c>
      <c r="L46" s="143">
        <v>10700</v>
      </c>
    </row>
    <row r="47" spans="1:12">
      <c r="A47" s="82">
        <v>32</v>
      </c>
      <c r="B47" s="144">
        <v>167000</v>
      </c>
      <c r="C47" s="83">
        <v>169000</v>
      </c>
      <c r="D47" s="83">
        <v>3200</v>
      </c>
      <c r="E47" s="83">
        <v>1580</v>
      </c>
      <c r="F47" s="83">
        <v>0</v>
      </c>
      <c r="G47" s="83">
        <v>0</v>
      </c>
      <c r="H47" s="83">
        <v>0</v>
      </c>
      <c r="I47" s="83">
        <v>0</v>
      </c>
      <c r="J47" s="83">
        <v>0</v>
      </c>
      <c r="K47" s="83">
        <v>0</v>
      </c>
      <c r="L47" s="143">
        <v>11000</v>
      </c>
    </row>
    <row r="48" spans="1:12">
      <c r="A48" s="82">
        <v>33</v>
      </c>
      <c r="B48" s="144">
        <v>169000</v>
      </c>
      <c r="C48" s="83">
        <v>171000</v>
      </c>
      <c r="D48" s="83">
        <v>3270</v>
      </c>
      <c r="E48" s="83">
        <v>1650</v>
      </c>
      <c r="F48" s="83">
        <v>0</v>
      </c>
      <c r="G48" s="83">
        <v>0</v>
      </c>
      <c r="H48" s="83">
        <v>0</v>
      </c>
      <c r="I48" s="83">
        <v>0</v>
      </c>
      <c r="J48" s="83">
        <v>0</v>
      </c>
      <c r="K48" s="83">
        <v>0</v>
      </c>
      <c r="L48" s="143">
        <v>11300</v>
      </c>
    </row>
    <row r="49" spans="1:12">
      <c r="A49" s="82">
        <v>34</v>
      </c>
      <c r="B49" s="144">
        <v>171000</v>
      </c>
      <c r="C49" s="83">
        <v>173000</v>
      </c>
      <c r="D49" s="83">
        <v>3340</v>
      </c>
      <c r="E49" s="83">
        <v>1730</v>
      </c>
      <c r="F49" s="83">
        <v>100</v>
      </c>
      <c r="G49" s="83">
        <v>0</v>
      </c>
      <c r="H49" s="83">
        <v>0</v>
      </c>
      <c r="I49" s="83">
        <v>0</v>
      </c>
      <c r="J49" s="83">
        <v>0</v>
      </c>
      <c r="K49" s="83">
        <v>0</v>
      </c>
      <c r="L49" s="143">
        <v>11500</v>
      </c>
    </row>
    <row r="50" spans="1:12">
      <c r="A50" s="82">
        <v>35</v>
      </c>
      <c r="B50" s="144">
        <v>173000</v>
      </c>
      <c r="C50" s="83">
        <v>175000</v>
      </c>
      <c r="D50" s="83">
        <v>3410</v>
      </c>
      <c r="E50" s="83">
        <v>1800</v>
      </c>
      <c r="F50" s="83">
        <v>170</v>
      </c>
      <c r="G50" s="83">
        <v>0</v>
      </c>
      <c r="H50" s="83">
        <v>0</v>
      </c>
      <c r="I50" s="83">
        <v>0</v>
      </c>
      <c r="J50" s="83">
        <v>0</v>
      </c>
      <c r="K50" s="83">
        <v>0</v>
      </c>
      <c r="L50" s="143">
        <v>11800</v>
      </c>
    </row>
    <row r="51" spans="1:12">
      <c r="A51" s="82"/>
      <c r="B51" s="144"/>
      <c r="C51" s="83"/>
      <c r="D51" s="83"/>
      <c r="E51" s="83"/>
      <c r="F51" s="83"/>
      <c r="G51" s="83"/>
      <c r="H51" s="83"/>
      <c r="I51" s="83"/>
      <c r="J51" s="83"/>
      <c r="K51" s="83"/>
      <c r="L51" s="143"/>
    </row>
    <row r="52" spans="1:12">
      <c r="A52" s="82">
        <v>36</v>
      </c>
      <c r="B52" s="144">
        <v>175000</v>
      </c>
      <c r="C52" s="83">
        <v>177000</v>
      </c>
      <c r="D52" s="83">
        <v>3480</v>
      </c>
      <c r="E52" s="83">
        <v>1870</v>
      </c>
      <c r="F52" s="83">
        <v>250</v>
      </c>
      <c r="G52" s="83">
        <v>0</v>
      </c>
      <c r="H52" s="83">
        <v>0</v>
      </c>
      <c r="I52" s="83">
        <v>0</v>
      </c>
      <c r="J52" s="83">
        <v>0</v>
      </c>
      <c r="K52" s="83">
        <v>0</v>
      </c>
      <c r="L52" s="143">
        <v>12100</v>
      </c>
    </row>
    <row r="53" spans="1:12">
      <c r="A53" s="82">
        <v>37</v>
      </c>
      <c r="B53" s="144">
        <v>177000</v>
      </c>
      <c r="C53" s="83">
        <v>179000</v>
      </c>
      <c r="D53" s="83">
        <v>3550</v>
      </c>
      <c r="E53" s="83">
        <v>1940</v>
      </c>
      <c r="F53" s="83">
        <v>320</v>
      </c>
      <c r="G53" s="83">
        <v>0</v>
      </c>
      <c r="H53" s="83">
        <v>0</v>
      </c>
      <c r="I53" s="83">
        <v>0</v>
      </c>
      <c r="J53" s="83">
        <v>0</v>
      </c>
      <c r="K53" s="83">
        <v>0</v>
      </c>
      <c r="L53" s="143">
        <v>12500</v>
      </c>
    </row>
    <row r="54" spans="1:12">
      <c r="A54" s="82">
        <v>38</v>
      </c>
      <c r="B54" s="144">
        <v>179000</v>
      </c>
      <c r="C54" s="83">
        <v>181000</v>
      </c>
      <c r="D54" s="83">
        <v>3620</v>
      </c>
      <c r="E54" s="83">
        <v>2010</v>
      </c>
      <c r="F54" s="83">
        <v>390</v>
      </c>
      <c r="G54" s="83">
        <v>0</v>
      </c>
      <c r="H54" s="83">
        <v>0</v>
      </c>
      <c r="I54" s="83">
        <v>0</v>
      </c>
      <c r="J54" s="83">
        <v>0</v>
      </c>
      <c r="K54" s="83">
        <v>0</v>
      </c>
      <c r="L54" s="143">
        <v>12800</v>
      </c>
    </row>
    <row r="55" spans="1:12">
      <c r="A55" s="82">
        <v>39</v>
      </c>
      <c r="B55" s="144">
        <v>181000</v>
      </c>
      <c r="C55" s="83">
        <v>183000</v>
      </c>
      <c r="D55" s="83">
        <v>3700</v>
      </c>
      <c r="E55" s="83">
        <v>2080</v>
      </c>
      <c r="F55" s="83">
        <v>460</v>
      </c>
      <c r="G55" s="83">
        <v>0</v>
      </c>
      <c r="H55" s="83">
        <v>0</v>
      </c>
      <c r="I55" s="83">
        <v>0</v>
      </c>
      <c r="J55" s="83">
        <v>0</v>
      </c>
      <c r="K55" s="83">
        <v>0</v>
      </c>
      <c r="L55" s="143">
        <v>13300</v>
      </c>
    </row>
    <row r="56" spans="1:12">
      <c r="A56" s="82">
        <v>40</v>
      </c>
      <c r="B56" s="144">
        <v>183000</v>
      </c>
      <c r="C56" s="83">
        <v>185000</v>
      </c>
      <c r="D56" s="83">
        <v>3770</v>
      </c>
      <c r="E56" s="83">
        <v>2150</v>
      </c>
      <c r="F56" s="83">
        <v>530</v>
      </c>
      <c r="G56" s="83">
        <v>0</v>
      </c>
      <c r="H56" s="83">
        <v>0</v>
      </c>
      <c r="I56" s="83">
        <v>0</v>
      </c>
      <c r="J56" s="83">
        <v>0</v>
      </c>
      <c r="K56" s="83">
        <v>0</v>
      </c>
      <c r="L56" s="143">
        <v>14000</v>
      </c>
    </row>
    <row r="57" spans="1:12">
      <c r="A57" s="82"/>
      <c r="B57" s="144"/>
      <c r="C57" s="83"/>
      <c r="D57" s="83"/>
      <c r="E57" s="83"/>
      <c r="F57" s="83"/>
      <c r="G57" s="83"/>
      <c r="H57" s="83"/>
      <c r="I57" s="83"/>
      <c r="J57" s="83"/>
      <c r="K57" s="83"/>
      <c r="L57" s="143"/>
    </row>
    <row r="58" spans="1:12">
      <c r="A58" s="82">
        <v>41</v>
      </c>
      <c r="B58" s="144">
        <v>185000</v>
      </c>
      <c r="C58" s="83">
        <v>187000</v>
      </c>
      <c r="D58" s="83">
        <v>3840</v>
      </c>
      <c r="E58" s="83">
        <v>2230</v>
      </c>
      <c r="F58" s="83">
        <v>600</v>
      </c>
      <c r="G58" s="83">
        <v>0</v>
      </c>
      <c r="H58" s="83">
        <v>0</v>
      </c>
      <c r="I58" s="83">
        <v>0</v>
      </c>
      <c r="J58" s="83">
        <v>0</v>
      </c>
      <c r="K58" s="83">
        <v>0</v>
      </c>
      <c r="L58" s="143">
        <v>14700</v>
      </c>
    </row>
    <row r="59" spans="1:12">
      <c r="A59" s="82">
        <v>42</v>
      </c>
      <c r="B59" s="144">
        <v>187000</v>
      </c>
      <c r="C59" s="83">
        <v>189000</v>
      </c>
      <c r="D59" s="83">
        <v>3910</v>
      </c>
      <c r="E59" s="83">
        <v>2300</v>
      </c>
      <c r="F59" s="83">
        <v>670</v>
      </c>
      <c r="G59" s="83">
        <v>0</v>
      </c>
      <c r="H59" s="83">
        <v>0</v>
      </c>
      <c r="I59" s="83">
        <v>0</v>
      </c>
      <c r="J59" s="83">
        <v>0</v>
      </c>
      <c r="K59" s="83">
        <v>0</v>
      </c>
      <c r="L59" s="143">
        <v>15400</v>
      </c>
    </row>
    <row r="60" spans="1:12">
      <c r="A60" s="82">
        <v>43</v>
      </c>
      <c r="B60" s="144">
        <v>189000</v>
      </c>
      <c r="C60" s="83">
        <v>191000</v>
      </c>
      <c r="D60" s="83">
        <v>3980</v>
      </c>
      <c r="E60" s="83">
        <v>2370</v>
      </c>
      <c r="F60" s="83">
        <v>750</v>
      </c>
      <c r="G60" s="83">
        <v>0</v>
      </c>
      <c r="H60" s="83">
        <v>0</v>
      </c>
      <c r="I60" s="83">
        <v>0</v>
      </c>
      <c r="J60" s="83">
        <v>0</v>
      </c>
      <c r="K60" s="83">
        <v>0</v>
      </c>
      <c r="L60" s="143">
        <v>16100</v>
      </c>
    </row>
    <row r="61" spans="1:12">
      <c r="A61" s="82">
        <v>44</v>
      </c>
      <c r="B61" s="144">
        <v>191000</v>
      </c>
      <c r="C61" s="83">
        <v>193000</v>
      </c>
      <c r="D61" s="83">
        <v>4050</v>
      </c>
      <c r="E61" s="83">
        <v>2440</v>
      </c>
      <c r="F61" s="83">
        <v>820</v>
      </c>
      <c r="G61" s="83">
        <v>0</v>
      </c>
      <c r="H61" s="83">
        <v>0</v>
      </c>
      <c r="I61" s="83">
        <v>0</v>
      </c>
      <c r="J61" s="83">
        <v>0</v>
      </c>
      <c r="K61" s="83">
        <v>0</v>
      </c>
      <c r="L61" s="143">
        <v>16800</v>
      </c>
    </row>
    <row r="62" spans="1:12">
      <c r="A62" s="82">
        <v>45</v>
      </c>
      <c r="B62" s="144">
        <v>193000</v>
      </c>
      <c r="C62" s="83">
        <v>195000</v>
      </c>
      <c r="D62" s="83">
        <v>4120</v>
      </c>
      <c r="E62" s="83">
        <v>2510</v>
      </c>
      <c r="F62" s="83">
        <v>890</v>
      </c>
      <c r="G62" s="83">
        <v>0</v>
      </c>
      <c r="H62" s="83">
        <v>0</v>
      </c>
      <c r="I62" s="83">
        <v>0</v>
      </c>
      <c r="J62" s="83">
        <v>0</v>
      </c>
      <c r="K62" s="83">
        <v>0</v>
      </c>
      <c r="L62" s="143">
        <v>17600</v>
      </c>
    </row>
    <row r="63" spans="1:12">
      <c r="A63" s="138"/>
      <c r="B63" s="147"/>
      <c r="C63" s="146"/>
      <c r="D63" s="146"/>
      <c r="E63" s="146"/>
      <c r="F63" s="146"/>
      <c r="G63" s="146"/>
      <c r="H63" s="146"/>
      <c r="I63" s="146"/>
      <c r="J63" s="146"/>
      <c r="K63" s="146"/>
      <c r="L63" s="145"/>
    </row>
    <row r="64" spans="1:12">
      <c r="A64" s="82">
        <v>46</v>
      </c>
      <c r="B64" s="144">
        <v>195000</v>
      </c>
      <c r="C64" s="83">
        <v>197000</v>
      </c>
      <c r="D64" s="83">
        <v>4200</v>
      </c>
      <c r="E64" s="83">
        <v>2580</v>
      </c>
      <c r="F64" s="83">
        <v>960</v>
      </c>
      <c r="G64" s="83">
        <v>0</v>
      </c>
      <c r="H64" s="83">
        <v>0</v>
      </c>
      <c r="I64" s="83">
        <v>0</v>
      </c>
      <c r="J64" s="83">
        <v>0</v>
      </c>
      <c r="K64" s="83">
        <v>0</v>
      </c>
      <c r="L64" s="143">
        <v>18300</v>
      </c>
    </row>
    <row r="65" spans="1:12">
      <c r="A65" s="82">
        <v>47</v>
      </c>
      <c r="B65" s="144">
        <v>197000</v>
      </c>
      <c r="C65" s="83">
        <v>199000</v>
      </c>
      <c r="D65" s="83">
        <v>4270</v>
      </c>
      <c r="E65" s="83">
        <v>2650</v>
      </c>
      <c r="F65" s="83">
        <v>1030</v>
      </c>
      <c r="G65" s="83">
        <v>0</v>
      </c>
      <c r="H65" s="83">
        <v>0</v>
      </c>
      <c r="I65" s="83">
        <v>0</v>
      </c>
      <c r="J65" s="83">
        <v>0</v>
      </c>
      <c r="K65" s="83">
        <v>0</v>
      </c>
      <c r="L65" s="143">
        <v>19000</v>
      </c>
    </row>
    <row r="66" spans="1:12">
      <c r="A66" s="82">
        <v>48</v>
      </c>
      <c r="B66" s="144">
        <v>199000</v>
      </c>
      <c r="C66" s="83">
        <v>201000</v>
      </c>
      <c r="D66" s="83">
        <v>4340</v>
      </c>
      <c r="E66" s="83">
        <v>2730</v>
      </c>
      <c r="F66" s="83">
        <v>1100</v>
      </c>
      <c r="G66" s="83">
        <v>0</v>
      </c>
      <c r="H66" s="83">
        <v>0</v>
      </c>
      <c r="I66" s="83">
        <v>0</v>
      </c>
      <c r="J66" s="83">
        <v>0</v>
      </c>
      <c r="K66" s="83">
        <v>0</v>
      </c>
      <c r="L66" s="143">
        <v>19700</v>
      </c>
    </row>
    <row r="67" spans="1:12">
      <c r="A67" s="82">
        <v>49</v>
      </c>
      <c r="B67" s="144">
        <v>201000</v>
      </c>
      <c r="C67" s="83">
        <v>203000</v>
      </c>
      <c r="D67" s="83">
        <v>4410</v>
      </c>
      <c r="E67" s="83">
        <v>2800</v>
      </c>
      <c r="F67" s="83">
        <v>1170</v>
      </c>
      <c r="G67" s="83">
        <v>0</v>
      </c>
      <c r="H67" s="83">
        <v>0</v>
      </c>
      <c r="I67" s="83">
        <v>0</v>
      </c>
      <c r="J67" s="83">
        <v>0</v>
      </c>
      <c r="K67" s="83">
        <v>0</v>
      </c>
      <c r="L67" s="143">
        <v>20400</v>
      </c>
    </row>
    <row r="68" spans="1:12">
      <c r="A68" s="82">
        <v>50</v>
      </c>
      <c r="B68" s="144">
        <v>203000</v>
      </c>
      <c r="C68" s="83">
        <v>205000</v>
      </c>
      <c r="D68" s="83">
        <v>4480</v>
      </c>
      <c r="E68" s="83">
        <v>2870</v>
      </c>
      <c r="F68" s="83">
        <v>1250</v>
      </c>
      <c r="G68" s="83">
        <v>0</v>
      </c>
      <c r="H68" s="83">
        <v>0</v>
      </c>
      <c r="I68" s="83">
        <v>0</v>
      </c>
      <c r="J68" s="83">
        <v>0</v>
      </c>
      <c r="K68" s="83">
        <v>0</v>
      </c>
      <c r="L68" s="143">
        <v>21000</v>
      </c>
    </row>
    <row r="69" spans="1:12">
      <c r="A69" s="82"/>
      <c r="B69" s="144"/>
      <c r="C69" s="83"/>
      <c r="D69" s="83"/>
      <c r="E69" s="83"/>
      <c r="F69" s="83"/>
      <c r="G69" s="83"/>
      <c r="H69" s="83"/>
      <c r="I69" s="83"/>
      <c r="J69" s="83"/>
      <c r="K69" s="83"/>
      <c r="L69" s="143"/>
    </row>
    <row r="70" spans="1:12">
      <c r="A70" s="82">
        <v>51</v>
      </c>
      <c r="B70" s="144">
        <v>205000</v>
      </c>
      <c r="C70" s="83">
        <v>207000</v>
      </c>
      <c r="D70" s="83">
        <v>4550</v>
      </c>
      <c r="E70" s="83">
        <v>2940</v>
      </c>
      <c r="F70" s="83">
        <v>1320</v>
      </c>
      <c r="G70" s="83">
        <v>0</v>
      </c>
      <c r="H70" s="83">
        <v>0</v>
      </c>
      <c r="I70" s="83">
        <v>0</v>
      </c>
      <c r="J70" s="83">
        <v>0</v>
      </c>
      <c r="K70" s="83">
        <v>0</v>
      </c>
      <c r="L70" s="143">
        <v>21700</v>
      </c>
    </row>
    <row r="71" spans="1:12">
      <c r="A71" s="82">
        <v>52</v>
      </c>
      <c r="B71" s="144">
        <v>207000</v>
      </c>
      <c r="C71" s="83">
        <v>209000</v>
      </c>
      <c r="D71" s="83">
        <v>4630</v>
      </c>
      <c r="E71" s="83">
        <v>3010</v>
      </c>
      <c r="F71" s="83">
        <v>1390</v>
      </c>
      <c r="G71" s="83">
        <v>0</v>
      </c>
      <c r="H71" s="83">
        <v>0</v>
      </c>
      <c r="I71" s="83">
        <v>0</v>
      </c>
      <c r="J71" s="83">
        <v>0</v>
      </c>
      <c r="K71" s="83">
        <v>0</v>
      </c>
      <c r="L71" s="143">
        <v>22500</v>
      </c>
    </row>
    <row r="72" spans="1:12">
      <c r="A72" s="82">
        <v>53</v>
      </c>
      <c r="B72" s="144">
        <v>209000</v>
      </c>
      <c r="C72" s="83">
        <v>211000</v>
      </c>
      <c r="D72" s="83">
        <v>4700</v>
      </c>
      <c r="E72" s="83">
        <v>3080</v>
      </c>
      <c r="F72" s="83">
        <v>1460</v>
      </c>
      <c r="G72" s="83">
        <v>0</v>
      </c>
      <c r="H72" s="83">
        <v>0</v>
      </c>
      <c r="I72" s="83">
        <v>0</v>
      </c>
      <c r="J72" s="83">
        <v>0</v>
      </c>
      <c r="K72" s="83">
        <v>0</v>
      </c>
      <c r="L72" s="143">
        <v>23000</v>
      </c>
    </row>
    <row r="73" spans="1:12">
      <c r="A73" s="82">
        <v>54</v>
      </c>
      <c r="B73" s="144">
        <v>211000</v>
      </c>
      <c r="C73" s="83">
        <v>213000</v>
      </c>
      <c r="D73" s="83">
        <v>4770</v>
      </c>
      <c r="E73" s="83">
        <v>3150</v>
      </c>
      <c r="F73" s="83">
        <v>1530</v>
      </c>
      <c r="G73" s="83">
        <v>0</v>
      </c>
      <c r="H73" s="83">
        <v>0</v>
      </c>
      <c r="I73" s="83">
        <v>0</v>
      </c>
      <c r="J73" s="83">
        <v>0</v>
      </c>
      <c r="K73" s="83">
        <v>0</v>
      </c>
      <c r="L73" s="143">
        <v>23600</v>
      </c>
    </row>
    <row r="74" spans="1:12">
      <c r="A74" s="82">
        <v>55</v>
      </c>
      <c r="B74" s="144">
        <v>213000</v>
      </c>
      <c r="C74" s="83">
        <v>215000</v>
      </c>
      <c r="D74" s="83">
        <v>4840</v>
      </c>
      <c r="E74" s="83">
        <v>3230</v>
      </c>
      <c r="F74" s="83">
        <v>1600</v>
      </c>
      <c r="G74" s="83">
        <v>0</v>
      </c>
      <c r="H74" s="83">
        <v>0</v>
      </c>
      <c r="I74" s="83">
        <v>0</v>
      </c>
      <c r="J74" s="83">
        <v>0</v>
      </c>
      <c r="K74" s="83">
        <v>0</v>
      </c>
      <c r="L74" s="143">
        <v>24100</v>
      </c>
    </row>
    <row r="75" spans="1:12">
      <c r="A75" s="82"/>
      <c r="B75" s="144"/>
      <c r="C75" s="83"/>
      <c r="D75" s="83"/>
      <c r="E75" s="83"/>
      <c r="F75" s="83"/>
      <c r="G75" s="83"/>
      <c r="H75" s="83"/>
      <c r="I75" s="83"/>
      <c r="J75" s="83"/>
      <c r="K75" s="83"/>
      <c r="L75" s="143"/>
    </row>
    <row r="76" spans="1:12">
      <c r="A76" s="82">
        <v>56</v>
      </c>
      <c r="B76" s="144">
        <v>215000</v>
      </c>
      <c r="C76" s="83">
        <v>217000</v>
      </c>
      <c r="D76" s="83">
        <v>4910</v>
      </c>
      <c r="E76" s="83">
        <v>3300</v>
      </c>
      <c r="F76" s="83">
        <v>1670</v>
      </c>
      <c r="G76" s="83">
        <v>0</v>
      </c>
      <c r="H76" s="83">
        <v>0</v>
      </c>
      <c r="I76" s="83">
        <v>0</v>
      </c>
      <c r="J76" s="83">
        <v>0</v>
      </c>
      <c r="K76" s="83">
        <v>0</v>
      </c>
      <c r="L76" s="143">
        <v>24700</v>
      </c>
    </row>
    <row r="77" spans="1:12">
      <c r="A77" s="82">
        <v>57</v>
      </c>
      <c r="B77" s="144">
        <v>217000</v>
      </c>
      <c r="C77" s="83">
        <v>219000</v>
      </c>
      <c r="D77" s="83">
        <v>4980</v>
      </c>
      <c r="E77" s="83">
        <v>3370</v>
      </c>
      <c r="F77" s="83">
        <v>1750</v>
      </c>
      <c r="G77" s="83">
        <v>130</v>
      </c>
      <c r="H77" s="83">
        <v>0</v>
      </c>
      <c r="I77" s="83">
        <v>0</v>
      </c>
      <c r="J77" s="83">
        <v>0</v>
      </c>
      <c r="K77" s="83">
        <v>0</v>
      </c>
      <c r="L77" s="143">
        <v>25300</v>
      </c>
    </row>
    <row r="78" spans="1:12">
      <c r="A78" s="82">
        <v>58</v>
      </c>
      <c r="B78" s="144">
        <v>219000</v>
      </c>
      <c r="C78" s="83">
        <v>221000</v>
      </c>
      <c r="D78" s="83">
        <v>5050</v>
      </c>
      <c r="E78" s="83">
        <v>3440</v>
      </c>
      <c r="F78" s="83">
        <v>1820</v>
      </c>
      <c r="G78" s="83">
        <v>200</v>
      </c>
      <c r="H78" s="83">
        <v>0</v>
      </c>
      <c r="I78" s="83">
        <v>0</v>
      </c>
      <c r="J78" s="83">
        <v>0</v>
      </c>
      <c r="K78" s="83">
        <v>0</v>
      </c>
      <c r="L78" s="143">
        <v>25800</v>
      </c>
    </row>
    <row r="79" spans="1:12">
      <c r="A79" s="82">
        <v>59</v>
      </c>
      <c r="B79" s="144">
        <v>221000</v>
      </c>
      <c r="C79" s="83">
        <v>224000</v>
      </c>
      <c r="D79" s="83">
        <v>5150</v>
      </c>
      <c r="E79" s="83">
        <v>3520</v>
      </c>
      <c r="F79" s="83">
        <v>1910</v>
      </c>
      <c r="G79" s="83">
        <v>300</v>
      </c>
      <c r="H79" s="83">
        <v>0</v>
      </c>
      <c r="I79" s="83">
        <v>0</v>
      </c>
      <c r="J79" s="83">
        <v>0</v>
      </c>
      <c r="K79" s="83">
        <v>0</v>
      </c>
      <c r="L79" s="143">
        <v>26400</v>
      </c>
    </row>
    <row r="80" spans="1:12">
      <c r="A80" s="82">
        <v>60</v>
      </c>
      <c r="B80" s="144">
        <v>224000</v>
      </c>
      <c r="C80" s="83">
        <v>227000</v>
      </c>
      <c r="D80" s="83">
        <v>5250</v>
      </c>
      <c r="E80" s="83">
        <v>3630</v>
      </c>
      <c r="F80" s="83">
        <v>2020</v>
      </c>
      <c r="G80" s="83">
        <v>400</v>
      </c>
      <c r="H80" s="83">
        <v>0</v>
      </c>
      <c r="I80" s="83">
        <v>0</v>
      </c>
      <c r="J80" s="83">
        <v>0</v>
      </c>
      <c r="K80" s="83">
        <v>0</v>
      </c>
      <c r="L80" s="143">
        <v>27500</v>
      </c>
    </row>
    <row r="81" spans="1:12">
      <c r="A81" s="82"/>
      <c r="B81" s="144"/>
      <c r="C81" s="83"/>
      <c r="D81" s="83"/>
      <c r="E81" s="83"/>
      <c r="F81" s="83"/>
      <c r="G81" s="83"/>
      <c r="H81" s="83"/>
      <c r="I81" s="83"/>
      <c r="J81" s="83"/>
      <c r="K81" s="83"/>
      <c r="L81" s="143"/>
    </row>
    <row r="82" spans="1:12">
      <c r="A82" s="82">
        <v>61</v>
      </c>
      <c r="B82" s="144">
        <v>227000</v>
      </c>
      <c r="C82" s="83">
        <v>230000</v>
      </c>
      <c r="D82" s="83">
        <v>5360</v>
      </c>
      <c r="E82" s="83">
        <v>3740</v>
      </c>
      <c r="F82" s="83">
        <v>2120</v>
      </c>
      <c r="G82" s="83">
        <v>510</v>
      </c>
      <c r="H82" s="83">
        <v>0</v>
      </c>
      <c r="I82" s="83">
        <v>0</v>
      </c>
      <c r="J82" s="83">
        <v>0</v>
      </c>
      <c r="K82" s="83">
        <v>0</v>
      </c>
      <c r="L82" s="143">
        <v>28500</v>
      </c>
    </row>
    <row r="83" spans="1:12">
      <c r="A83" s="82">
        <v>62</v>
      </c>
      <c r="B83" s="144">
        <v>230000</v>
      </c>
      <c r="C83" s="83">
        <v>233000</v>
      </c>
      <c r="D83" s="83">
        <v>5460</v>
      </c>
      <c r="E83" s="83">
        <v>3850</v>
      </c>
      <c r="F83" s="83">
        <v>2240</v>
      </c>
      <c r="G83" s="83">
        <v>610</v>
      </c>
      <c r="H83" s="83">
        <v>0</v>
      </c>
      <c r="I83" s="83">
        <v>0</v>
      </c>
      <c r="J83" s="83">
        <v>0</v>
      </c>
      <c r="K83" s="83">
        <v>0</v>
      </c>
      <c r="L83" s="143">
        <v>29500</v>
      </c>
    </row>
    <row r="84" spans="1:12">
      <c r="A84" s="82">
        <v>63</v>
      </c>
      <c r="B84" s="144">
        <v>233000</v>
      </c>
      <c r="C84" s="83">
        <v>236000</v>
      </c>
      <c r="D84" s="83">
        <v>5570</v>
      </c>
      <c r="E84" s="83">
        <v>3950</v>
      </c>
      <c r="F84" s="83">
        <v>2340</v>
      </c>
      <c r="G84" s="83">
        <v>720</v>
      </c>
      <c r="H84" s="83">
        <v>0</v>
      </c>
      <c r="I84" s="83">
        <v>0</v>
      </c>
      <c r="J84" s="83">
        <v>0</v>
      </c>
      <c r="K84" s="83">
        <v>0</v>
      </c>
      <c r="L84" s="143">
        <v>30500</v>
      </c>
    </row>
    <row r="85" spans="1:12">
      <c r="A85" s="82">
        <v>64</v>
      </c>
      <c r="B85" s="144">
        <v>236000</v>
      </c>
      <c r="C85" s="83">
        <v>239000</v>
      </c>
      <c r="D85" s="83">
        <v>5680</v>
      </c>
      <c r="E85" s="83">
        <v>4060</v>
      </c>
      <c r="F85" s="83">
        <v>2450</v>
      </c>
      <c r="G85" s="83">
        <v>830</v>
      </c>
      <c r="H85" s="83">
        <v>0</v>
      </c>
      <c r="I85" s="83">
        <v>0</v>
      </c>
      <c r="J85" s="83">
        <v>0</v>
      </c>
      <c r="K85" s="83">
        <v>0</v>
      </c>
      <c r="L85" s="143">
        <v>31500</v>
      </c>
    </row>
    <row r="86" spans="1:12">
      <c r="A86" s="82">
        <v>65</v>
      </c>
      <c r="B86" s="144">
        <v>239000</v>
      </c>
      <c r="C86" s="83">
        <v>242000</v>
      </c>
      <c r="D86" s="83">
        <v>5790</v>
      </c>
      <c r="E86" s="83">
        <v>4170</v>
      </c>
      <c r="F86" s="83">
        <v>2550</v>
      </c>
      <c r="G86" s="83">
        <v>940</v>
      </c>
      <c r="H86" s="83">
        <v>0</v>
      </c>
      <c r="I86" s="83">
        <v>0</v>
      </c>
      <c r="J86" s="83">
        <v>0</v>
      </c>
      <c r="K86" s="83">
        <v>0</v>
      </c>
      <c r="L86" s="143">
        <v>32600</v>
      </c>
    </row>
    <row r="87" spans="1:12">
      <c r="A87" s="82"/>
      <c r="B87" s="144"/>
      <c r="C87" s="83"/>
      <c r="D87" s="83"/>
      <c r="E87" s="83"/>
      <c r="F87" s="83"/>
      <c r="G87" s="83"/>
      <c r="H87" s="83"/>
      <c r="I87" s="83"/>
      <c r="J87" s="83"/>
      <c r="K87" s="83"/>
      <c r="L87" s="143"/>
    </row>
    <row r="88" spans="1:12">
      <c r="A88" s="82">
        <v>66</v>
      </c>
      <c r="B88" s="144">
        <v>242000</v>
      </c>
      <c r="C88" s="83">
        <v>245000</v>
      </c>
      <c r="D88" s="83">
        <v>5890</v>
      </c>
      <c r="E88" s="83">
        <v>4280</v>
      </c>
      <c r="F88" s="83">
        <v>2660</v>
      </c>
      <c r="G88" s="83">
        <v>1040</v>
      </c>
      <c r="H88" s="83">
        <v>0</v>
      </c>
      <c r="I88" s="83">
        <v>0</v>
      </c>
      <c r="J88" s="83">
        <v>0</v>
      </c>
      <c r="K88" s="83">
        <v>0</v>
      </c>
      <c r="L88" s="143">
        <v>33600</v>
      </c>
    </row>
    <row r="89" spans="1:12">
      <c r="A89" s="82">
        <v>67</v>
      </c>
      <c r="B89" s="144">
        <v>245000</v>
      </c>
      <c r="C89" s="83">
        <v>248000</v>
      </c>
      <c r="D89" s="83">
        <v>6000</v>
      </c>
      <c r="E89" s="83">
        <v>4380</v>
      </c>
      <c r="F89" s="83">
        <v>2770</v>
      </c>
      <c r="G89" s="83">
        <v>1150</v>
      </c>
      <c r="H89" s="83">
        <v>0</v>
      </c>
      <c r="I89" s="83">
        <v>0</v>
      </c>
      <c r="J89" s="83">
        <v>0</v>
      </c>
      <c r="K89" s="83">
        <v>0</v>
      </c>
      <c r="L89" s="143">
        <v>34600</v>
      </c>
    </row>
    <row r="90" spans="1:12">
      <c r="A90" s="82">
        <v>68</v>
      </c>
      <c r="B90" s="144">
        <v>248000</v>
      </c>
      <c r="C90" s="83">
        <v>251000</v>
      </c>
      <c r="D90" s="83">
        <v>6110</v>
      </c>
      <c r="E90" s="83">
        <v>4490</v>
      </c>
      <c r="F90" s="83">
        <v>2880</v>
      </c>
      <c r="G90" s="83">
        <v>1260</v>
      </c>
      <c r="H90" s="83">
        <v>0</v>
      </c>
      <c r="I90" s="83">
        <v>0</v>
      </c>
      <c r="J90" s="83">
        <v>0</v>
      </c>
      <c r="K90" s="83">
        <v>0</v>
      </c>
      <c r="L90" s="143">
        <v>35500</v>
      </c>
    </row>
    <row r="91" spans="1:12">
      <c r="A91" s="82">
        <v>69</v>
      </c>
      <c r="B91" s="144">
        <v>251000</v>
      </c>
      <c r="C91" s="83">
        <v>254000</v>
      </c>
      <c r="D91" s="83">
        <v>6220</v>
      </c>
      <c r="E91" s="83">
        <v>4590</v>
      </c>
      <c r="F91" s="83">
        <v>2980</v>
      </c>
      <c r="G91" s="83">
        <v>1370</v>
      </c>
      <c r="H91" s="83">
        <v>0</v>
      </c>
      <c r="I91" s="83">
        <v>0</v>
      </c>
      <c r="J91" s="83">
        <v>0</v>
      </c>
      <c r="K91" s="83">
        <v>0</v>
      </c>
      <c r="L91" s="143">
        <v>36600</v>
      </c>
    </row>
    <row r="92" spans="1:12">
      <c r="A92" s="82">
        <v>70</v>
      </c>
      <c r="B92" s="144">
        <v>254000</v>
      </c>
      <c r="C92" s="83">
        <v>257000</v>
      </c>
      <c r="D92" s="83">
        <v>6320</v>
      </c>
      <c r="E92" s="83">
        <v>4710</v>
      </c>
      <c r="F92" s="83">
        <v>3090</v>
      </c>
      <c r="G92" s="83">
        <v>1470</v>
      </c>
      <c r="H92" s="83">
        <v>0</v>
      </c>
      <c r="I92" s="83">
        <v>0</v>
      </c>
      <c r="J92" s="83">
        <v>0</v>
      </c>
      <c r="K92" s="83">
        <v>0</v>
      </c>
      <c r="L92" s="143">
        <v>37600</v>
      </c>
    </row>
    <row r="93" spans="1:12">
      <c r="A93" s="82"/>
      <c r="B93" s="144"/>
      <c r="C93" s="83"/>
      <c r="D93" s="83"/>
      <c r="E93" s="83"/>
      <c r="F93" s="83"/>
      <c r="G93" s="83"/>
      <c r="H93" s="83"/>
      <c r="I93" s="83"/>
      <c r="J93" s="83"/>
      <c r="K93" s="83"/>
      <c r="L93" s="143"/>
    </row>
    <row r="94" spans="1:12">
      <c r="A94" s="82">
        <v>71</v>
      </c>
      <c r="B94" s="144">
        <v>257000</v>
      </c>
      <c r="C94" s="83">
        <v>260000</v>
      </c>
      <c r="D94" s="83">
        <v>6430</v>
      </c>
      <c r="E94" s="83">
        <v>4810</v>
      </c>
      <c r="F94" s="83">
        <v>3200</v>
      </c>
      <c r="G94" s="83">
        <v>1580</v>
      </c>
      <c r="H94" s="83">
        <v>0</v>
      </c>
      <c r="I94" s="83">
        <v>0</v>
      </c>
      <c r="J94" s="83">
        <v>0</v>
      </c>
      <c r="K94" s="83">
        <v>0</v>
      </c>
      <c r="L94" s="143">
        <v>38600</v>
      </c>
    </row>
    <row r="95" spans="1:12">
      <c r="A95" s="82">
        <v>72</v>
      </c>
      <c r="B95" s="144">
        <v>260000</v>
      </c>
      <c r="C95" s="83">
        <v>263000</v>
      </c>
      <c r="D95" s="83">
        <v>6530</v>
      </c>
      <c r="E95" s="83">
        <v>4920</v>
      </c>
      <c r="F95" s="83">
        <v>3310</v>
      </c>
      <c r="G95" s="83">
        <v>1680</v>
      </c>
      <c r="H95" s="83">
        <v>0</v>
      </c>
      <c r="I95" s="83">
        <v>0</v>
      </c>
      <c r="J95" s="83">
        <v>0</v>
      </c>
      <c r="K95" s="83">
        <v>0</v>
      </c>
      <c r="L95" s="143">
        <v>39600</v>
      </c>
    </row>
    <row r="96" spans="1:12">
      <c r="A96" s="82">
        <v>73</v>
      </c>
      <c r="B96" s="144">
        <v>263000</v>
      </c>
      <c r="C96" s="83">
        <v>266000</v>
      </c>
      <c r="D96" s="83">
        <v>6650</v>
      </c>
      <c r="E96" s="83">
        <v>5020</v>
      </c>
      <c r="F96" s="83">
        <v>3410</v>
      </c>
      <c r="G96" s="83">
        <v>1800</v>
      </c>
      <c r="H96" s="83">
        <v>170</v>
      </c>
      <c r="I96" s="83">
        <v>0</v>
      </c>
      <c r="J96" s="83">
        <v>0</v>
      </c>
      <c r="K96" s="83">
        <v>0</v>
      </c>
      <c r="L96" s="143">
        <v>40600</v>
      </c>
    </row>
    <row r="97" spans="1:12">
      <c r="A97" s="82">
        <v>74</v>
      </c>
      <c r="B97" s="144">
        <v>266000</v>
      </c>
      <c r="C97" s="83">
        <v>269000</v>
      </c>
      <c r="D97" s="83">
        <v>6750</v>
      </c>
      <c r="E97" s="83">
        <v>5140</v>
      </c>
      <c r="F97" s="83">
        <v>3520</v>
      </c>
      <c r="G97" s="83">
        <v>1900</v>
      </c>
      <c r="H97" s="83">
        <v>290</v>
      </c>
      <c r="I97" s="83">
        <v>0</v>
      </c>
      <c r="J97" s="83">
        <v>0</v>
      </c>
      <c r="K97" s="83">
        <v>0</v>
      </c>
      <c r="L97" s="143">
        <v>41700</v>
      </c>
    </row>
    <row r="98" spans="1:12">
      <c r="A98" s="82">
        <v>75</v>
      </c>
      <c r="B98" s="144">
        <v>269000</v>
      </c>
      <c r="C98" s="83">
        <v>272000</v>
      </c>
      <c r="D98" s="83">
        <v>6860</v>
      </c>
      <c r="E98" s="83">
        <v>5240</v>
      </c>
      <c r="F98" s="83">
        <v>3620</v>
      </c>
      <c r="G98" s="83">
        <v>2010</v>
      </c>
      <c r="H98" s="83">
        <v>390</v>
      </c>
      <c r="I98" s="83">
        <v>0</v>
      </c>
      <c r="J98" s="83">
        <v>0</v>
      </c>
      <c r="K98" s="83">
        <v>0</v>
      </c>
      <c r="L98" s="143">
        <v>42700</v>
      </c>
    </row>
    <row r="99" spans="1:12">
      <c r="A99" s="82"/>
      <c r="B99" s="144"/>
      <c r="C99" s="83"/>
      <c r="D99" s="83"/>
      <c r="E99" s="83"/>
      <c r="F99" s="83"/>
      <c r="G99" s="83"/>
      <c r="H99" s="83"/>
      <c r="I99" s="83"/>
      <c r="J99" s="83"/>
      <c r="K99" s="83"/>
      <c r="L99" s="143"/>
    </row>
    <row r="100" spans="1:12">
      <c r="A100" s="82">
        <v>76</v>
      </c>
      <c r="B100" s="144">
        <v>272000</v>
      </c>
      <c r="C100" s="83">
        <v>275000</v>
      </c>
      <c r="D100" s="83">
        <v>6960</v>
      </c>
      <c r="E100" s="83">
        <v>5350</v>
      </c>
      <c r="F100" s="83">
        <v>3740</v>
      </c>
      <c r="G100" s="83">
        <v>2110</v>
      </c>
      <c r="H100" s="83">
        <v>500</v>
      </c>
      <c r="I100" s="83">
        <v>0</v>
      </c>
      <c r="J100" s="83">
        <v>0</v>
      </c>
      <c r="K100" s="83">
        <v>0</v>
      </c>
      <c r="L100" s="143">
        <v>43700</v>
      </c>
    </row>
    <row r="101" spans="1:12">
      <c r="A101" s="82">
        <v>77</v>
      </c>
      <c r="B101" s="144">
        <v>275000</v>
      </c>
      <c r="C101" s="83">
        <v>278000</v>
      </c>
      <c r="D101" s="83">
        <v>7080</v>
      </c>
      <c r="E101" s="83">
        <v>5450</v>
      </c>
      <c r="F101" s="83">
        <v>3840</v>
      </c>
      <c r="G101" s="83">
        <v>2230</v>
      </c>
      <c r="H101" s="83">
        <v>600</v>
      </c>
      <c r="I101" s="83">
        <v>0</v>
      </c>
      <c r="J101" s="83">
        <v>0</v>
      </c>
      <c r="K101" s="83">
        <v>0</v>
      </c>
      <c r="L101" s="143">
        <v>44700</v>
      </c>
    </row>
    <row r="102" spans="1:12">
      <c r="A102" s="82">
        <v>78</v>
      </c>
      <c r="B102" s="144">
        <v>278000</v>
      </c>
      <c r="C102" s="83">
        <v>281000</v>
      </c>
      <c r="D102" s="83">
        <v>7180</v>
      </c>
      <c r="E102" s="83">
        <v>5560</v>
      </c>
      <c r="F102" s="83">
        <v>3950</v>
      </c>
      <c r="G102" s="83">
        <v>2330</v>
      </c>
      <c r="H102" s="83">
        <v>710</v>
      </c>
      <c r="I102" s="83">
        <v>0</v>
      </c>
      <c r="J102" s="83">
        <v>0</v>
      </c>
      <c r="K102" s="83">
        <v>0</v>
      </c>
      <c r="L102" s="143">
        <v>45600</v>
      </c>
    </row>
    <row r="103" spans="1:12">
      <c r="A103" s="82">
        <v>79</v>
      </c>
      <c r="B103" s="144">
        <v>281000</v>
      </c>
      <c r="C103" s="83">
        <v>284000</v>
      </c>
      <c r="D103" s="83">
        <v>7290</v>
      </c>
      <c r="E103" s="83">
        <v>5670</v>
      </c>
      <c r="F103" s="83">
        <v>4050</v>
      </c>
      <c r="G103" s="83">
        <v>2440</v>
      </c>
      <c r="H103" s="83">
        <v>820</v>
      </c>
      <c r="I103" s="83">
        <v>0</v>
      </c>
      <c r="J103" s="83">
        <v>0</v>
      </c>
      <c r="K103" s="83">
        <v>0</v>
      </c>
      <c r="L103" s="143">
        <v>46700</v>
      </c>
    </row>
    <row r="104" spans="1:12">
      <c r="A104" s="82">
        <v>80</v>
      </c>
      <c r="B104" s="144">
        <v>284000</v>
      </c>
      <c r="C104" s="83">
        <v>287000</v>
      </c>
      <c r="D104" s="83">
        <v>7390</v>
      </c>
      <c r="E104" s="83">
        <v>5780</v>
      </c>
      <c r="F104" s="83">
        <v>4170</v>
      </c>
      <c r="G104" s="83">
        <v>2540</v>
      </c>
      <c r="H104" s="83">
        <v>930</v>
      </c>
      <c r="I104" s="83">
        <v>0</v>
      </c>
      <c r="J104" s="83">
        <v>0</v>
      </c>
      <c r="K104" s="83">
        <v>0</v>
      </c>
      <c r="L104" s="143">
        <v>47800</v>
      </c>
    </row>
    <row r="105" spans="1:12">
      <c r="A105" s="82"/>
      <c r="B105" s="144"/>
      <c r="C105" s="83"/>
      <c r="D105" s="83"/>
      <c r="E105" s="83"/>
      <c r="F105" s="83"/>
      <c r="G105" s="83"/>
      <c r="H105" s="83"/>
      <c r="I105" s="83"/>
      <c r="J105" s="83"/>
      <c r="K105" s="83"/>
      <c r="L105" s="143"/>
    </row>
    <row r="106" spans="1:12">
      <c r="A106" s="82">
        <v>81</v>
      </c>
      <c r="B106" s="144">
        <v>287000</v>
      </c>
      <c r="C106" s="83">
        <v>290000</v>
      </c>
      <c r="D106" s="83">
        <v>7500</v>
      </c>
      <c r="E106" s="83">
        <v>5880</v>
      </c>
      <c r="F106" s="83">
        <v>4270</v>
      </c>
      <c r="G106" s="83">
        <v>2650</v>
      </c>
      <c r="H106" s="83">
        <v>1030</v>
      </c>
      <c r="I106" s="83">
        <v>0</v>
      </c>
      <c r="J106" s="83">
        <v>0</v>
      </c>
      <c r="K106" s="83">
        <v>0</v>
      </c>
      <c r="L106" s="143">
        <v>48900</v>
      </c>
    </row>
    <row r="107" spans="1:12">
      <c r="A107" s="82">
        <v>82</v>
      </c>
      <c r="B107" s="144">
        <v>290000</v>
      </c>
      <c r="C107" s="83">
        <v>293000</v>
      </c>
      <c r="D107" s="83">
        <v>7610</v>
      </c>
      <c r="E107" s="83">
        <v>5990</v>
      </c>
      <c r="F107" s="83">
        <v>4380</v>
      </c>
      <c r="G107" s="83">
        <v>2760</v>
      </c>
      <c r="H107" s="83">
        <v>1140</v>
      </c>
      <c r="I107" s="83">
        <v>0</v>
      </c>
      <c r="J107" s="83">
        <v>0</v>
      </c>
      <c r="K107" s="83">
        <v>0</v>
      </c>
      <c r="L107" s="143">
        <v>50000</v>
      </c>
    </row>
    <row r="108" spans="1:12">
      <c r="A108" s="82">
        <v>83</v>
      </c>
      <c r="B108" s="144">
        <v>293000</v>
      </c>
      <c r="C108" s="83">
        <v>296000</v>
      </c>
      <c r="D108" s="83">
        <v>7720</v>
      </c>
      <c r="E108" s="83">
        <v>6100</v>
      </c>
      <c r="F108" s="83">
        <v>4480</v>
      </c>
      <c r="G108" s="83">
        <v>2870</v>
      </c>
      <c r="H108" s="83">
        <v>1250</v>
      </c>
      <c r="I108" s="83">
        <v>0</v>
      </c>
      <c r="J108" s="83">
        <v>0</v>
      </c>
      <c r="K108" s="83">
        <v>0</v>
      </c>
      <c r="L108" s="143">
        <v>51300</v>
      </c>
    </row>
    <row r="109" spans="1:12">
      <c r="A109" s="82">
        <v>84</v>
      </c>
      <c r="B109" s="144">
        <v>296000</v>
      </c>
      <c r="C109" s="83">
        <v>299000</v>
      </c>
      <c r="D109" s="83">
        <v>7820</v>
      </c>
      <c r="E109" s="83">
        <v>6210</v>
      </c>
      <c r="F109" s="83">
        <v>4590</v>
      </c>
      <c r="G109" s="83">
        <v>2970</v>
      </c>
      <c r="H109" s="83">
        <v>1360</v>
      </c>
      <c r="I109" s="83">
        <v>0</v>
      </c>
      <c r="J109" s="83">
        <v>0</v>
      </c>
      <c r="K109" s="83">
        <v>0</v>
      </c>
      <c r="L109" s="143">
        <v>52400</v>
      </c>
    </row>
    <row r="110" spans="1:12">
      <c r="A110" s="82">
        <v>85</v>
      </c>
      <c r="B110" s="144">
        <v>299000</v>
      </c>
      <c r="C110" s="83">
        <v>302000</v>
      </c>
      <c r="D110" s="83">
        <v>7930</v>
      </c>
      <c r="E110" s="83">
        <v>6320</v>
      </c>
      <c r="F110" s="83">
        <v>4700</v>
      </c>
      <c r="G110" s="83">
        <v>3080</v>
      </c>
      <c r="H110" s="83">
        <v>1470</v>
      </c>
      <c r="I110" s="83">
        <v>0</v>
      </c>
      <c r="J110" s="83">
        <v>0</v>
      </c>
      <c r="K110" s="83">
        <v>0</v>
      </c>
      <c r="L110" s="143">
        <v>53600</v>
      </c>
    </row>
    <row r="111" spans="1:12">
      <c r="A111" s="82"/>
      <c r="B111" s="144"/>
      <c r="C111" s="83"/>
      <c r="D111" s="83"/>
      <c r="E111" s="83"/>
      <c r="F111" s="83"/>
      <c r="G111" s="83"/>
      <c r="H111" s="83"/>
      <c r="I111" s="83"/>
      <c r="J111" s="83"/>
      <c r="K111" s="83"/>
      <c r="L111" s="143"/>
    </row>
    <row r="112" spans="1:12">
      <c r="A112" s="82">
        <v>86</v>
      </c>
      <c r="B112" s="144">
        <v>302000</v>
      </c>
      <c r="C112" s="83">
        <v>305000</v>
      </c>
      <c r="D112" s="83">
        <v>8060</v>
      </c>
      <c r="E112" s="83">
        <v>6440</v>
      </c>
      <c r="F112" s="83">
        <v>4820</v>
      </c>
      <c r="G112" s="83">
        <v>3210</v>
      </c>
      <c r="H112" s="83">
        <v>1590</v>
      </c>
      <c r="I112" s="83">
        <v>0</v>
      </c>
      <c r="J112" s="83">
        <v>0</v>
      </c>
      <c r="K112" s="83">
        <v>0</v>
      </c>
      <c r="L112" s="143">
        <v>54500</v>
      </c>
    </row>
    <row r="113" spans="1:12">
      <c r="A113" s="82">
        <v>87</v>
      </c>
      <c r="B113" s="144">
        <v>305000</v>
      </c>
      <c r="C113" s="83">
        <v>308000</v>
      </c>
      <c r="D113" s="83">
        <v>8180</v>
      </c>
      <c r="E113" s="83">
        <v>6570</v>
      </c>
      <c r="F113" s="83">
        <v>4940</v>
      </c>
      <c r="G113" s="83">
        <v>3330</v>
      </c>
      <c r="H113" s="83">
        <v>1720</v>
      </c>
      <c r="I113" s="83">
        <v>0</v>
      </c>
      <c r="J113" s="83">
        <v>0</v>
      </c>
      <c r="K113" s="83">
        <v>0</v>
      </c>
      <c r="L113" s="143">
        <v>55200</v>
      </c>
    </row>
    <row r="114" spans="1:12">
      <c r="A114" s="82">
        <v>88</v>
      </c>
      <c r="B114" s="144">
        <v>308000</v>
      </c>
      <c r="C114" s="83">
        <v>311000</v>
      </c>
      <c r="D114" s="83">
        <v>8300</v>
      </c>
      <c r="E114" s="83">
        <v>6690</v>
      </c>
      <c r="F114" s="83">
        <v>5060</v>
      </c>
      <c r="G114" s="83">
        <v>3450</v>
      </c>
      <c r="H114" s="83">
        <v>1840</v>
      </c>
      <c r="I114" s="83">
        <v>210</v>
      </c>
      <c r="J114" s="83">
        <v>0</v>
      </c>
      <c r="K114" s="83">
        <v>0</v>
      </c>
      <c r="L114" s="143">
        <v>56100</v>
      </c>
    </row>
    <row r="115" spans="1:12">
      <c r="A115" s="82">
        <v>89</v>
      </c>
      <c r="B115" s="144">
        <v>311000</v>
      </c>
      <c r="C115" s="83">
        <v>314000</v>
      </c>
      <c r="D115" s="83">
        <v>8550</v>
      </c>
      <c r="E115" s="83">
        <v>6810</v>
      </c>
      <c r="F115" s="83">
        <v>5190</v>
      </c>
      <c r="G115" s="83">
        <v>3570</v>
      </c>
      <c r="H115" s="83">
        <v>1960</v>
      </c>
      <c r="I115" s="83">
        <v>340</v>
      </c>
      <c r="J115" s="83">
        <v>0</v>
      </c>
      <c r="K115" s="83">
        <v>0</v>
      </c>
      <c r="L115" s="143">
        <v>56900</v>
      </c>
    </row>
    <row r="116" spans="1:12">
      <c r="A116" s="82">
        <v>90</v>
      </c>
      <c r="B116" s="144">
        <v>314000</v>
      </c>
      <c r="C116" s="83">
        <v>317000</v>
      </c>
      <c r="D116" s="83">
        <v>8790</v>
      </c>
      <c r="E116" s="83">
        <v>6930</v>
      </c>
      <c r="F116" s="83">
        <v>5310</v>
      </c>
      <c r="G116" s="83">
        <v>3700</v>
      </c>
      <c r="H116" s="83">
        <v>2080</v>
      </c>
      <c r="I116" s="83">
        <v>460</v>
      </c>
      <c r="J116" s="83">
        <v>0</v>
      </c>
      <c r="K116" s="83">
        <v>0</v>
      </c>
      <c r="L116" s="143">
        <v>57700</v>
      </c>
    </row>
    <row r="117" spans="1:12">
      <c r="A117" s="82"/>
      <c r="B117" s="144"/>
      <c r="C117" s="83"/>
      <c r="D117" s="83"/>
      <c r="E117" s="83"/>
      <c r="F117" s="83"/>
      <c r="G117" s="83"/>
      <c r="H117" s="83"/>
      <c r="I117" s="83"/>
      <c r="J117" s="83"/>
      <c r="K117" s="83"/>
      <c r="L117" s="143"/>
    </row>
    <row r="118" spans="1:12">
      <c r="A118" s="82">
        <v>91</v>
      </c>
      <c r="B118" s="144">
        <v>317000</v>
      </c>
      <c r="C118" s="83">
        <v>320000</v>
      </c>
      <c r="D118" s="83">
        <v>9040</v>
      </c>
      <c r="E118" s="83">
        <v>7060</v>
      </c>
      <c r="F118" s="83">
        <v>5430</v>
      </c>
      <c r="G118" s="83">
        <v>3820</v>
      </c>
      <c r="H118" s="83">
        <v>2210</v>
      </c>
      <c r="I118" s="83">
        <v>580</v>
      </c>
      <c r="J118" s="83">
        <v>0</v>
      </c>
      <c r="K118" s="83">
        <v>0</v>
      </c>
      <c r="L118" s="143">
        <v>58500</v>
      </c>
    </row>
    <row r="119" spans="1:12">
      <c r="A119" s="82">
        <v>92</v>
      </c>
      <c r="B119" s="144">
        <v>320000</v>
      </c>
      <c r="C119" s="83">
        <v>323000</v>
      </c>
      <c r="D119" s="83">
        <v>9280</v>
      </c>
      <c r="E119" s="83">
        <v>7180</v>
      </c>
      <c r="F119" s="83">
        <v>5550</v>
      </c>
      <c r="G119" s="83">
        <v>3940</v>
      </c>
      <c r="H119" s="83">
        <v>2330</v>
      </c>
      <c r="I119" s="83">
        <v>700</v>
      </c>
      <c r="J119" s="83">
        <v>0</v>
      </c>
      <c r="K119" s="83">
        <v>0</v>
      </c>
      <c r="L119" s="143">
        <v>59500</v>
      </c>
    </row>
    <row r="120" spans="1:12">
      <c r="A120" s="82">
        <v>93</v>
      </c>
      <c r="B120" s="144">
        <v>323000</v>
      </c>
      <c r="C120" s="83">
        <v>326000</v>
      </c>
      <c r="D120" s="83">
        <v>9530</v>
      </c>
      <c r="E120" s="83">
        <v>7300</v>
      </c>
      <c r="F120" s="83">
        <v>5680</v>
      </c>
      <c r="G120" s="83">
        <v>4060</v>
      </c>
      <c r="H120" s="83">
        <v>2450</v>
      </c>
      <c r="I120" s="83">
        <v>830</v>
      </c>
      <c r="J120" s="83">
        <v>0</v>
      </c>
      <c r="K120" s="83">
        <v>0</v>
      </c>
      <c r="L120" s="143">
        <v>60500</v>
      </c>
    </row>
    <row r="121" spans="1:12">
      <c r="A121" s="82">
        <v>94</v>
      </c>
      <c r="B121" s="144">
        <v>326000</v>
      </c>
      <c r="C121" s="83">
        <v>329000</v>
      </c>
      <c r="D121" s="83">
        <v>9770</v>
      </c>
      <c r="E121" s="83">
        <v>7420</v>
      </c>
      <c r="F121" s="83">
        <v>5800</v>
      </c>
      <c r="G121" s="83">
        <v>4190</v>
      </c>
      <c r="H121" s="83">
        <v>2570</v>
      </c>
      <c r="I121" s="83">
        <v>950</v>
      </c>
      <c r="J121" s="83">
        <v>0</v>
      </c>
      <c r="K121" s="83">
        <v>0</v>
      </c>
      <c r="L121" s="143">
        <v>61600</v>
      </c>
    </row>
    <row r="122" spans="1:12">
      <c r="A122" s="82">
        <v>95</v>
      </c>
      <c r="B122" s="144">
        <v>329000</v>
      </c>
      <c r="C122" s="83">
        <v>332000</v>
      </c>
      <c r="D122" s="83">
        <v>10020</v>
      </c>
      <c r="E122" s="83">
        <v>7550</v>
      </c>
      <c r="F122" s="83">
        <v>5920</v>
      </c>
      <c r="G122" s="83">
        <v>4310</v>
      </c>
      <c r="H122" s="83">
        <v>2700</v>
      </c>
      <c r="I122" s="83">
        <v>1070</v>
      </c>
      <c r="J122" s="83">
        <v>0</v>
      </c>
      <c r="K122" s="83">
        <v>0</v>
      </c>
      <c r="L122" s="143">
        <v>62600</v>
      </c>
    </row>
    <row r="123" spans="1:12">
      <c r="A123" s="138"/>
      <c r="B123" s="147"/>
      <c r="C123" s="146"/>
      <c r="D123" s="146"/>
      <c r="E123" s="146"/>
      <c r="F123" s="146"/>
      <c r="G123" s="146"/>
      <c r="H123" s="146"/>
      <c r="I123" s="146"/>
      <c r="J123" s="146"/>
      <c r="K123" s="146"/>
      <c r="L123" s="145"/>
    </row>
    <row r="124" spans="1:12">
      <c r="A124" s="82">
        <v>96</v>
      </c>
      <c r="B124" s="144">
        <v>332000</v>
      </c>
      <c r="C124" s="83">
        <v>335000</v>
      </c>
      <c r="D124" s="83">
        <v>10260</v>
      </c>
      <c r="E124" s="83">
        <v>7670</v>
      </c>
      <c r="F124" s="83">
        <v>6040</v>
      </c>
      <c r="G124" s="83">
        <v>4430</v>
      </c>
      <c r="H124" s="83">
        <v>2820</v>
      </c>
      <c r="I124" s="83">
        <v>1190</v>
      </c>
      <c r="J124" s="83">
        <v>0</v>
      </c>
      <c r="K124" s="83">
        <v>0</v>
      </c>
      <c r="L124" s="143">
        <v>63700</v>
      </c>
    </row>
    <row r="125" spans="1:12">
      <c r="A125" s="82">
        <v>97</v>
      </c>
      <c r="B125" s="144">
        <v>335000</v>
      </c>
      <c r="C125" s="83">
        <v>338000</v>
      </c>
      <c r="D125" s="83">
        <v>10510</v>
      </c>
      <c r="E125" s="83">
        <v>7790</v>
      </c>
      <c r="F125" s="83">
        <v>6170</v>
      </c>
      <c r="G125" s="83">
        <v>4550</v>
      </c>
      <c r="H125" s="83">
        <v>2940</v>
      </c>
      <c r="I125" s="83">
        <v>1320</v>
      </c>
      <c r="J125" s="83">
        <v>0</v>
      </c>
      <c r="K125" s="83">
        <v>0</v>
      </c>
      <c r="L125" s="143">
        <v>64700</v>
      </c>
    </row>
    <row r="126" spans="1:12">
      <c r="A126" s="82">
        <v>98</v>
      </c>
      <c r="B126" s="144">
        <v>338000</v>
      </c>
      <c r="C126" s="83">
        <v>341000</v>
      </c>
      <c r="D126" s="83">
        <v>10750</v>
      </c>
      <c r="E126" s="83">
        <v>7910</v>
      </c>
      <c r="F126" s="83">
        <v>6290</v>
      </c>
      <c r="G126" s="83">
        <v>4680</v>
      </c>
      <c r="H126" s="83">
        <v>3060</v>
      </c>
      <c r="I126" s="83">
        <v>1440</v>
      </c>
      <c r="J126" s="83">
        <v>0</v>
      </c>
      <c r="K126" s="83">
        <v>0</v>
      </c>
      <c r="L126" s="143">
        <v>65800</v>
      </c>
    </row>
    <row r="127" spans="1:12">
      <c r="A127" s="82">
        <v>99</v>
      </c>
      <c r="B127" s="144">
        <v>341000</v>
      </c>
      <c r="C127" s="83">
        <v>344000</v>
      </c>
      <c r="D127" s="83">
        <v>11000</v>
      </c>
      <c r="E127" s="83">
        <v>8040</v>
      </c>
      <c r="F127" s="83">
        <v>6410</v>
      </c>
      <c r="G127" s="83">
        <v>4800</v>
      </c>
      <c r="H127" s="83">
        <v>3190</v>
      </c>
      <c r="I127" s="83">
        <v>1560</v>
      </c>
      <c r="J127" s="83">
        <v>0</v>
      </c>
      <c r="K127" s="83">
        <v>0</v>
      </c>
      <c r="L127" s="143">
        <v>66800</v>
      </c>
    </row>
    <row r="128" spans="1:12">
      <c r="A128" s="82">
        <v>100</v>
      </c>
      <c r="B128" s="144">
        <v>344000</v>
      </c>
      <c r="C128" s="83">
        <v>347000</v>
      </c>
      <c r="D128" s="83">
        <v>11240</v>
      </c>
      <c r="E128" s="83">
        <v>8160</v>
      </c>
      <c r="F128" s="83">
        <v>6530</v>
      </c>
      <c r="G128" s="83">
        <v>4920</v>
      </c>
      <c r="H128" s="83">
        <v>3310</v>
      </c>
      <c r="I128" s="83">
        <v>1680</v>
      </c>
      <c r="J128" s="83">
        <v>0</v>
      </c>
      <c r="K128" s="83">
        <v>0</v>
      </c>
      <c r="L128" s="143">
        <v>67800</v>
      </c>
    </row>
    <row r="129" spans="1:12">
      <c r="A129" s="82"/>
      <c r="B129" s="144"/>
      <c r="C129" s="83"/>
      <c r="D129" s="83"/>
      <c r="E129" s="83"/>
      <c r="F129" s="83"/>
      <c r="G129" s="83"/>
      <c r="H129" s="83"/>
      <c r="I129" s="83"/>
      <c r="J129" s="83"/>
      <c r="K129" s="83"/>
      <c r="L129" s="143"/>
    </row>
    <row r="130" spans="1:12">
      <c r="A130" s="82">
        <v>101</v>
      </c>
      <c r="B130" s="144">
        <v>347000</v>
      </c>
      <c r="C130" s="83">
        <v>350000</v>
      </c>
      <c r="D130" s="83">
        <v>11490</v>
      </c>
      <c r="E130" s="83">
        <v>8280</v>
      </c>
      <c r="F130" s="83">
        <v>6660</v>
      </c>
      <c r="G130" s="83">
        <v>5040</v>
      </c>
      <c r="H130" s="83">
        <v>3430</v>
      </c>
      <c r="I130" s="83">
        <v>1810</v>
      </c>
      <c r="J130" s="83">
        <v>190</v>
      </c>
      <c r="K130" s="83">
        <v>0</v>
      </c>
      <c r="L130" s="143">
        <v>68800</v>
      </c>
    </row>
    <row r="131" spans="1:12">
      <c r="A131" s="82">
        <v>102</v>
      </c>
      <c r="B131" s="144">
        <v>350000</v>
      </c>
      <c r="C131" s="83">
        <v>353000</v>
      </c>
      <c r="D131" s="83">
        <v>11730</v>
      </c>
      <c r="E131" s="83">
        <v>8500</v>
      </c>
      <c r="F131" s="83">
        <v>6780</v>
      </c>
      <c r="G131" s="83">
        <v>5170</v>
      </c>
      <c r="H131" s="83">
        <v>3550</v>
      </c>
      <c r="I131" s="83">
        <v>1930</v>
      </c>
      <c r="J131" s="83">
        <v>320</v>
      </c>
      <c r="K131" s="83">
        <v>0</v>
      </c>
      <c r="L131" s="143">
        <v>69800</v>
      </c>
    </row>
    <row r="132" spans="1:12">
      <c r="A132" s="82">
        <v>103</v>
      </c>
      <c r="B132" s="144">
        <v>353000</v>
      </c>
      <c r="C132" s="83">
        <v>356000</v>
      </c>
      <c r="D132" s="83">
        <v>11980</v>
      </c>
      <c r="E132" s="83">
        <v>8750</v>
      </c>
      <c r="F132" s="83">
        <v>6900</v>
      </c>
      <c r="G132" s="83">
        <v>5290</v>
      </c>
      <c r="H132" s="83">
        <v>3680</v>
      </c>
      <c r="I132" s="83">
        <v>2050</v>
      </c>
      <c r="J132" s="83">
        <v>440</v>
      </c>
      <c r="K132" s="83">
        <v>0</v>
      </c>
      <c r="L132" s="143">
        <v>70900</v>
      </c>
    </row>
    <row r="133" spans="1:12">
      <c r="A133" s="82">
        <v>104</v>
      </c>
      <c r="B133" s="144">
        <v>356000</v>
      </c>
      <c r="C133" s="83">
        <v>359000</v>
      </c>
      <c r="D133" s="83">
        <v>12220</v>
      </c>
      <c r="E133" s="83">
        <v>9000</v>
      </c>
      <c r="F133" s="83">
        <v>7020</v>
      </c>
      <c r="G133" s="83">
        <v>5410</v>
      </c>
      <c r="H133" s="83">
        <v>3800</v>
      </c>
      <c r="I133" s="83">
        <v>2170</v>
      </c>
      <c r="J133" s="83">
        <v>560</v>
      </c>
      <c r="K133" s="83">
        <v>0</v>
      </c>
      <c r="L133" s="143">
        <v>71900</v>
      </c>
    </row>
    <row r="134" spans="1:12">
      <c r="A134" s="82">
        <v>105</v>
      </c>
      <c r="B134" s="144">
        <v>359000</v>
      </c>
      <c r="C134" s="83">
        <v>362000</v>
      </c>
      <c r="D134" s="83">
        <v>12470</v>
      </c>
      <c r="E134" s="83">
        <v>9240</v>
      </c>
      <c r="F134" s="83">
        <v>7150</v>
      </c>
      <c r="G134" s="83">
        <v>5530</v>
      </c>
      <c r="H134" s="83">
        <v>3920</v>
      </c>
      <c r="I134" s="83">
        <v>2300</v>
      </c>
      <c r="J134" s="83">
        <v>680</v>
      </c>
      <c r="K134" s="83">
        <v>0</v>
      </c>
      <c r="L134" s="143">
        <v>72900</v>
      </c>
    </row>
    <row r="135" spans="1:12">
      <c r="A135" s="82"/>
      <c r="B135" s="144"/>
      <c r="C135" s="83"/>
      <c r="D135" s="83"/>
      <c r="E135" s="83"/>
      <c r="F135" s="83"/>
      <c r="G135" s="83"/>
      <c r="H135" s="83"/>
      <c r="I135" s="83"/>
      <c r="J135" s="83"/>
      <c r="K135" s="83"/>
      <c r="L135" s="143"/>
    </row>
    <row r="136" spans="1:12">
      <c r="A136" s="82">
        <v>106</v>
      </c>
      <c r="B136" s="144">
        <v>362000</v>
      </c>
      <c r="C136" s="83">
        <v>365000</v>
      </c>
      <c r="D136" s="83">
        <v>12710</v>
      </c>
      <c r="E136" s="83">
        <v>9490</v>
      </c>
      <c r="F136" s="83">
        <v>7270</v>
      </c>
      <c r="G136" s="83">
        <v>5660</v>
      </c>
      <c r="H136" s="83">
        <v>4040</v>
      </c>
      <c r="I136" s="83">
        <v>2420</v>
      </c>
      <c r="J136" s="83">
        <v>810</v>
      </c>
      <c r="K136" s="83">
        <v>0</v>
      </c>
      <c r="L136" s="143">
        <v>73900</v>
      </c>
    </row>
    <row r="137" spans="1:12">
      <c r="A137" s="82">
        <v>107</v>
      </c>
      <c r="B137" s="144">
        <v>365000</v>
      </c>
      <c r="C137" s="83">
        <v>368000</v>
      </c>
      <c r="D137" s="83">
        <v>12960</v>
      </c>
      <c r="E137" s="83">
        <v>9730</v>
      </c>
      <c r="F137" s="83">
        <v>7390</v>
      </c>
      <c r="G137" s="83">
        <v>5780</v>
      </c>
      <c r="H137" s="83">
        <v>4170</v>
      </c>
      <c r="I137" s="83">
        <v>2540</v>
      </c>
      <c r="J137" s="83">
        <v>930</v>
      </c>
      <c r="K137" s="83">
        <v>0</v>
      </c>
      <c r="L137" s="143">
        <v>74900</v>
      </c>
    </row>
    <row r="138" spans="1:12">
      <c r="A138" s="82">
        <v>108</v>
      </c>
      <c r="B138" s="144">
        <v>368000</v>
      </c>
      <c r="C138" s="83">
        <v>371000</v>
      </c>
      <c r="D138" s="83">
        <v>13200</v>
      </c>
      <c r="E138" s="83">
        <v>9980</v>
      </c>
      <c r="F138" s="83">
        <v>7510</v>
      </c>
      <c r="G138" s="83">
        <v>5900</v>
      </c>
      <c r="H138" s="83">
        <v>4290</v>
      </c>
      <c r="I138" s="83">
        <v>2660</v>
      </c>
      <c r="J138" s="83">
        <v>1050</v>
      </c>
      <c r="K138" s="83">
        <v>0</v>
      </c>
      <c r="L138" s="143">
        <v>76000</v>
      </c>
    </row>
    <row r="139" spans="1:12">
      <c r="A139" s="82">
        <v>109</v>
      </c>
      <c r="B139" s="144">
        <v>371000</v>
      </c>
      <c r="C139" s="83">
        <v>374000</v>
      </c>
      <c r="D139" s="83">
        <v>13450</v>
      </c>
      <c r="E139" s="83">
        <v>10220</v>
      </c>
      <c r="F139" s="83">
        <v>7640</v>
      </c>
      <c r="G139" s="83">
        <v>6020</v>
      </c>
      <c r="H139" s="83">
        <v>4410</v>
      </c>
      <c r="I139" s="83">
        <v>2790</v>
      </c>
      <c r="J139" s="83">
        <v>1170</v>
      </c>
      <c r="K139" s="83">
        <v>0</v>
      </c>
      <c r="L139" s="143">
        <v>76900</v>
      </c>
    </row>
    <row r="140" spans="1:12">
      <c r="A140" s="82">
        <v>110</v>
      </c>
      <c r="B140" s="144">
        <v>374000</v>
      </c>
      <c r="C140" s="83">
        <v>377000</v>
      </c>
      <c r="D140" s="83">
        <v>13690</v>
      </c>
      <c r="E140" s="83">
        <v>10470</v>
      </c>
      <c r="F140" s="83">
        <v>7760</v>
      </c>
      <c r="G140" s="83">
        <v>6150</v>
      </c>
      <c r="H140" s="83">
        <v>4530</v>
      </c>
      <c r="I140" s="83">
        <v>2910</v>
      </c>
      <c r="J140" s="83">
        <v>1300</v>
      </c>
      <c r="K140" s="83">
        <v>0</v>
      </c>
      <c r="L140" s="143">
        <v>77800</v>
      </c>
    </row>
    <row r="141" spans="1:12">
      <c r="A141" s="82"/>
      <c r="B141" s="144"/>
      <c r="C141" s="83"/>
      <c r="D141" s="83"/>
      <c r="E141" s="83"/>
      <c r="F141" s="83"/>
      <c r="G141" s="83"/>
      <c r="H141" s="83"/>
      <c r="I141" s="83"/>
      <c r="J141" s="83"/>
      <c r="K141" s="83"/>
      <c r="L141" s="143"/>
    </row>
    <row r="142" spans="1:12">
      <c r="A142" s="82">
        <v>111</v>
      </c>
      <c r="B142" s="144">
        <v>377000</v>
      </c>
      <c r="C142" s="83">
        <v>380000</v>
      </c>
      <c r="D142" s="83">
        <v>13940</v>
      </c>
      <c r="E142" s="83">
        <v>10710</v>
      </c>
      <c r="F142" s="83">
        <v>7880</v>
      </c>
      <c r="G142" s="83">
        <v>6270</v>
      </c>
      <c r="H142" s="83">
        <v>4660</v>
      </c>
      <c r="I142" s="83">
        <v>3030</v>
      </c>
      <c r="J142" s="83">
        <v>1420</v>
      </c>
      <c r="K142" s="83">
        <v>0</v>
      </c>
      <c r="L142" s="143">
        <v>78700</v>
      </c>
    </row>
    <row r="143" spans="1:12">
      <c r="A143" s="82">
        <v>112</v>
      </c>
      <c r="B143" s="144">
        <v>380000</v>
      </c>
      <c r="C143" s="83">
        <v>383000</v>
      </c>
      <c r="D143" s="83">
        <v>14180</v>
      </c>
      <c r="E143" s="83">
        <v>10960</v>
      </c>
      <c r="F143" s="83">
        <v>8000</v>
      </c>
      <c r="G143" s="83">
        <v>6390</v>
      </c>
      <c r="H143" s="83">
        <v>4780</v>
      </c>
      <c r="I143" s="83">
        <v>3150</v>
      </c>
      <c r="J143" s="83">
        <v>1540</v>
      </c>
      <c r="K143" s="83">
        <v>0</v>
      </c>
      <c r="L143" s="143">
        <v>79600</v>
      </c>
    </row>
    <row r="144" spans="1:12">
      <c r="A144" s="82">
        <v>113</v>
      </c>
      <c r="B144" s="144">
        <v>383000</v>
      </c>
      <c r="C144" s="83">
        <v>386000</v>
      </c>
      <c r="D144" s="83">
        <v>14430</v>
      </c>
      <c r="E144" s="83">
        <v>11200</v>
      </c>
      <c r="F144" s="83">
        <v>8130</v>
      </c>
      <c r="G144" s="83">
        <v>6510</v>
      </c>
      <c r="H144" s="83">
        <v>4900</v>
      </c>
      <c r="I144" s="83">
        <v>3280</v>
      </c>
      <c r="J144" s="83">
        <v>1660</v>
      </c>
      <c r="K144" s="83">
        <v>0</v>
      </c>
      <c r="L144" s="143">
        <v>80600</v>
      </c>
    </row>
    <row r="145" spans="1:12">
      <c r="A145" s="82">
        <v>114</v>
      </c>
      <c r="B145" s="144">
        <v>386000</v>
      </c>
      <c r="C145" s="83">
        <v>389000</v>
      </c>
      <c r="D145" s="83">
        <v>14670</v>
      </c>
      <c r="E145" s="83">
        <v>11450</v>
      </c>
      <c r="F145" s="83">
        <v>8250</v>
      </c>
      <c r="G145" s="83">
        <v>6640</v>
      </c>
      <c r="H145" s="83">
        <v>5020</v>
      </c>
      <c r="I145" s="83">
        <v>3400</v>
      </c>
      <c r="J145" s="83">
        <v>1790</v>
      </c>
      <c r="K145" s="83">
        <v>170</v>
      </c>
      <c r="L145" s="143">
        <v>82000</v>
      </c>
    </row>
    <row r="146" spans="1:12">
      <c r="A146" s="82">
        <v>115</v>
      </c>
      <c r="B146" s="144">
        <v>389000</v>
      </c>
      <c r="C146" s="83">
        <v>392000</v>
      </c>
      <c r="D146" s="83">
        <v>14920</v>
      </c>
      <c r="E146" s="83">
        <v>11690</v>
      </c>
      <c r="F146" s="83">
        <v>8450</v>
      </c>
      <c r="G146" s="83">
        <v>6760</v>
      </c>
      <c r="H146" s="83">
        <v>5150</v>
      </c>
      <c r="I146" s="83">
        <v>3520</v>
      </c>
      <c r="J146" s="83">
        <v>1910</v>
      </c>
      <c r="K146" s="83">
        <v>300</v>
      </c>
      <c r="L146" s="143">
        <v>83600</v>
      </c>
    </row>
    <row r="147" spans="1:12">
      <c r="A147" s="82"/>
      <c r="B147" s="144"/>
      <c r="C147" s="83"/>
      <c r="D147" s="83"/>
      <c r="E147" s="83"/>
      <c r="F147" s="83"/>
      <c r="G147" s="83"/>
      <c r="H147" s="83"/>
      <c r="I147" s="83"/>
      <c r="J147" s="83"/>
      <c r="K147" s="83"/>
      <c r="L147" s="143"/>
    </row>
    <row r="148" spans="1:12">
      <c r="A148" s="82">
        <v>116</v>
      </c>
      <c r="B148" s="144">
        <v>392000</v>
      </c>
      <c r="C148" s="83">
        <v>395000</v>
      </c>
      <c r="D148" s="83">
        <v>15160</v>
      </c>
      <c r="E148" s="83">
        <v>11940</v>
      </c>
      <c r="F148" s="83">
        <v>8700</v>
      </c>
      <c r="G148" s="83">
        <v>6880</v>
      </c>
      <c r="H148" s="83">
        <v>5270</v>
      </c>
      <c r="I148" s="83">
        <v>3640</v>
      </c>
      <c r="J148" s="83">
        <v>2030</v>
      </c>
      <c r="K148" s="83">
        <v>420</v>
      </c>
      <c r="L148" s="143">
        <v>85400</v>
      </c>
    </row>
    <row r="149" spans="1:12">
      <c r="A149" s="82">
        <v>117</v>
      </c>
      <c r="B149" s="144">
        <v>395000</v>
      </c>
      <c r="C149" s="83">
        <v>398000</v>
      </c>
      <c r="D149" s="83">
        <v>15410</v>
      </c>
      <c r="E149" s="83">
        <v>12180</v>
      </c>
      <c r="F149" s="83">
        <v>8940</v>
      </c>
      <c r="G149" s="83">
        <v>7000</v>
      </c>
      <c r="H149" s="83">
        <v>5390</v>
      </c>
      <c r="I149" s="83">
        <v>3770</v>
      </c>
      <c r="J149" s="83">
        <v>2150</v>
      </c>
      <c r="K149" s="83">
        <v>540</v>
      </c>
      <c r="L149" s="143">
        <v>87100</v>
      </c>
    </row>
    <row r="150" spans="1:12">
      <c r="A150" s="82">
        <v>118</v>
      </c>
      <c r="B150" s="144">
        <v>398000</v>
      </c>
      <c r="C150" s="83">
        <v>401000</v>
      </c>
      <c r="D150" s="83">
        <v>15650</v>
      </c>
      <c r="E150" s="83">
        <v>12430</v>
      </c>
      <c r="F150" s="83">
        <v>9190</v>
      </c>
      <c r="G150" s="83">
        <v>7130</v>
      </c>
      <c r="H150" s="83">
        <v>5510</v>
      </c>
      <c r="I150" s="83">
        <v>3890</v>
      </c>
      <c r="J150" s="83">
        <v>2280</v>
      </c>
      <c r="K150" s="83">
        <v>660</v>
      </c>
      <c r="L150" s="143">
        <v>88700</v>
      </c>
    </row>
    <row r="151" spans="1:12">
      <c r="A151" s="82">
        <v>119</v>
      </c>
      <c r="B151" s="144">
        <v>401000</v>
      </c>
      <c r="C151" s="83">
        <v>404000</v>
      </c>
      <c r="D151" s="83">
        <v>15900</v>
      </c>
      <c r="E151" s="83">
        <v>12670</v>
      </c>
      <c r="F151" s="83">
        <v>9430</v>
      </c>
      <c r="G151" s="83">
        <v>7250</v>
      </c>
      <c r="H151" s="83">
        <v>5640</v>
      </c>
      <c r="I151" s="83">
        <v>4010</v>
      </c>
      <c r="J151" s="83">
        <v>2400</v>
      </c>
      <c r="K151" s="83">
        <v>790</v>
      </c>
      <c r="L151" s="143">
        <v>90500</v>
      </c>
    </row>
    <row r="152" spans="1:12">
      <c r="A152" s="82">
        <v>120</v>
      </c>
      <c r="B152" s="144">
        <v>404000</v>
      </c>
      <c r="C152" s="83">
        <v>407000</v>
      </c>
      <c r="D152" s="83">
        <v>16140</v>
      </c>
      <c r="E152" s="83">
        <v>12920</v>
      </c>
      <c r="F152" s="83">
        <v>9680</v>
      </c>
      <c r="G152" s="83">
        <v>7370</v>
      </c>
      <c r="H152" s="83">
        <v>5760</v>
      </c>
      <c r="I152" s="83">
        <v>4140</v>
      </c>
      <c r="J152" s="83">
        <v>2520</v>
      </c>
      <c r="K152" s="83">
        <v>910</v>
      </c>
      <c r="L152" s="143">
        <v>92200</v>
      </c>
    </row>
    <row r="153" spans="1:12">
      <c r="A153" s="82"/>
      <c r="B153" s="144"/>
      <c r="C153" s="83"/>
      <c r="D153" s="83"/>
      <c r="E153" s="83"/>
      <c r="F153" s="83"/>
      <c r="G153" s="83"/>
      <c r="H153" s="83"/>
      <c r="I153" s="83"/>
      <c r="J153" s="83"/>
      <c r="K153" s="83"/>
      <c r="L153" s="143"/>
    </row>
    <row r="154" spans="1:12">
      <c r="A154" s="82">
        <v>121</v>
      </c>
      <c r="B154" s="144">
        <v>407000</v>
      </c>
      <c r="C154" s="83">
        <v>410000</v>
      </c>
      <c r="D154" s="83">
        <v>16390</v>
      </c>
      <c r="E154" s="83">
        <v>13160</v>
      </c>
      <c r="F154" s="83">
        <v>9920</v>
      </c>
      <c r="G154" s="83">
        <v>7490</v>
      </c>
      <c r="H154" s="83">
        <v>5880</v>
      </c>
      <c r="I154" s="83">
        <v>4260</v>
      </c>
      <c r="J154" s="83">
        <v>2640</v>
      </c>
      <c r="K154" s="83">
        <v>1030</v>
      </c>
      <c r="L154" s="143">
        <v>93800</v>
      </c>
    </row>
    <row r="155" spans="1:12">
      <c r="A155" s="82">
        <v>122</v>
      </c>
      <c r="B155" s="144">
        <v>410000</v>
      </c>
      <c r="C155" s="83">
        <v>413000</v>
      </c>
      <c r="D155" s="83">
        <v>16630</v>
      </c>
      <c r="E155" s="83">
        <v>13410</v>
      </c>
      <c r="F155" s="83">
        <v>10170</v>
      </c>
      <c r="G155" s="83">
        <v>7620</v>
      </c>
      <c r="H155" s="83">
        <v>6000</v>
      </c>
      <c r="I155" s="83">
        <v>4380</v>
      </c>
      <c r="J155" s="83">
        <v>2770</v>
      </c>
      <c r="K155" s="83">
        <v>1150</v>
      </c>
      <c r="L155" s="143">
        <v>95600</v>
      </c>
    </row>
    <row r="156" spans="1:12">
      <c r="A156" s="82">
        <v>123</v>
      </c>
      <c r="B156" s="144">
        <v>413000</v>
      </c>
      <c r="C156" s="83">
        <v>416000</v>
      </c>
      <c r="D156" s="83">
        <v>16880</v>
      </c>
      <c r="E156" s="83">
        <v>13650</v>
      </c>
      <c r="F156" s="83">
        <v>10410</v>
      </c>
      <c r="G156" s="83">
        <v>7740</v>
      </c>
      <c r="H156" s="83">
        <v>6130</v>
      </c>
      <c r="I156" s="83">
        <v>4500</v>
      </c>
      <c r="J156" s="83">
        <v>2890</v>
      </c>
      <c r="K156" s="83">
        <v>1280</v>
      </c>
      <c r="L156" s="143">
        <v>97300</v>
      </c>
    </row>
    <row r="157" spans="1:12">
      <c r="A157" s="82">
        <v>124</v>
      </c>
      <c r="B157" s="144">
        <v>416000</v>
      </c>
      <c r="C157" s="83">
        <v>419000</v>
      </c>
      <c r="D157" s="83">
        <v>17120</v>
      </c>
      <c r="E157" s="83">
        <v>13900</v>
      </c>
      <c r="F157" s="83">
        <v>10660</v>
      </c>
      <c r="G157" s="83">
        <v>7860</v>
      </c>
      <c r="H157" s="83">
        <v>6250</v>
      </c>
      <c r="I157" s="83">
        <v>4630</v>
      </c>
      <c r="J157" s="83">
        <v>3010</v>
      </c>
      <c r="K157" s="83">
        <v>1400</v>
      </c>
      <c r="L157" s="143">
        <v>98900</v>
      </c>
    </row>
    <row r="158" spans="1:12">
      <c r="A158" s="82">
        <v>125</v>
      </c>
      <c r="B158" s="144">
        <v>419000</v>
      </c>
      <c r="C158" s="83">
        <v>422000</v>
      </c>
      <c r="D158" s="83">
        <v>17370</v>
      </c>
      <c r="E158" s="83">
        <v>14140</v>
      </c>
      <c r="F158" s="83">
        <v>10900</v>
      </c>
      <c r="G158" s="83">
        <v>7980</v>
      </c>
      <c r="H158" s="83">
        <v>6370</v>
      </c>
      <c r="I158" s="83">
        <v>4750</v>
      </c>
      <c r="J158" s="83">
        <v>3130</v>
      </c>
      <c r="K158" s="83">
        <v>1520</v>
      </c>
      <c r="L158" s="143">
        <v>100700</v>
      </c>
    </row>
    <row r="159" spans="1:12">
      <c r="A159" s="82"/>
      <c r="B159" s="144"/>
      <c r="C159" s="83"/>
      <c r="D159" s="83"/>
      <c r="E159" s="83"/>
      <c r="F159" s="83"/>
      <c r="G159" s="83"/>
      <c r="H159" s="83"/>
      <c r="I159" s="83"/>
      <c r="J159" s="83"/>
      <c r="K159" s="83"/>
      <c r="L159" s="143"/>
    </row>
    <row r="160" spans="1:12">
      <c r="A160" s="82">
        <v>126</v>
      </c>
      <c r="B160" s="144">
        <v>422000</v>
      </c>
      <c r="C160" s="83">
        <v>425000</v>
      </c>
      <c r="D160" s="83">
        <v>17610</v>
      </c>
      <c r="E160" s="83">
        <v>14390</v>
      </c>
      <c r="F160" s="83">
        <v>11150</v>
      </c>
      <c r="G160" s="83">
        <v>8110</v>
      </c>
      <c r="H160" s="83">
        <v>6490</v>
      </c>
      <c r="I160" s="83">
        <v>4870</v>
      </c>
      <c r="J160" s="83">
        <v>3260</v>
      </c>
      <c r="K160" s="83">
        <v>1640</v>
      </c>
      <c r="L160" s="143">
        <v>102400</v>
      </c>
    </row>
    <row r="161" spans="1:12">
      <c r="A161" s="82">
        <v>127</v>
      </c>
      <c r="B161" s="144">
        <v>425000</v>
      </c>
      <c r="C161" s="83">
        <v>428000</v>
      </c>
      <c r="D161" s="83">
        <v>17860</v>
      </c>
      <c r="E161" s="83">
        <v>14630</v>
      </c>
      <c r="F161" s="83">
        <v>11390</v>
      </c>
      <c r="G161" s="83">
        <v>8230</v>
      </c>
      <c r="H161" s="83">
        <v>6620</v>
      </c>
      <c r="I161" s="83">
        <v>4990</v>
      </c>
      <c r="J161" s="83">
        <v>3380</v>
      </c>
      <c r="K161" s="83">
        <v>1770</v>
      </c>
      <c r="L161" s="143">
        <v>104000</v>
      </c>
    </row>
    <row r="162" spans="1:12">
      <c r="A162" s="82">
        <v>128</v>
      </c>
      <c r="B162" s="144">
        <v>428000</v>
      </c>
      <c r="C162" s="83">
        <v>431000</v>
      </c>
      <c r="D162" s="83">
        <v>18100</v>
      </c>
      <c r="E162" s="83">
        <v>14880</v>
      </c>
      <c r="F162" s="83">
        <v>11640</v>
      </c>
      <c r="G162" s="83">
        <v>8400</v>
      </c>
      <c r="H162" s="83">
        <v>6740</v>
      </c>
      <c r="I162" s="83">
        <v>5120</v>
      </c>
      <c r="J162" s="83">
        <v>3500</v>
      </c>
      <c r="K162" s="83">
        <v>1890</v>
      </c>
      <c r="L162" s="143">
        <v>105800</v>
      </c>
    </row>
    <row r="163" spans="1:12">
      <c r="A163" s="82">
        <v>129</v>
      </c>
      <c r="B163" s="144">
        <v>431000</v>
      </c>
      <c r="C163" s="83">
        <v>434000</v>
      </c>
      <c r="D163" s="83">
        <v>18350</v>
      </c>
      <c r="E163" s="83">
        <v>15120</v>
      </c>
      <c r="F163" s="83">
        <v>11880</v>
      </c>
      <c r="G163" s="83">
        <v>8650</v>
      </c>
      <c r="H163" s="83">
        <v>6860</v>
      </c>
      <c r="I163" s="83">
        <v>5240</v>
      </c>
      <c r="J163" s="83">
        <v>3620</v>
      </c>
      <c r="K163" s="83">
        <v>2010</v>
      </c>
      <c r="L163" s="143">
        <v>107500</v>
      </c>
    </row>
    <row r="164" spans="1:12">
      <c r="A164" s="82">
        <v>130</v>
      </c>
      <c r="B164" s="144">
        <v>434000</v>
      </c>
      <c r="C164" s="83">
        <v>437000</v>
      </c>
      <c r="D164" s="83">
        <v>18590</v>
      </c>
      <c r="E164" s="83">
        <v>15370</v>
      </c>
      <c r="F164" s="83">
        <v>12130</v>
      </c>
      <c r="G164" s="83">
        <v>8890</v>
      </c>
      <c r="H164" s="83">
        <v>6980</v>
      </c>
      <c r="I164" s="83">
        <v>5360</v>
      </c>
      <c r="J164" s="83">
        <v>3750</v>
      </c>
      <c r="K164" s="83">
        <v>2130</v>
      </c>
      <c r="L164" s="143">
        <v>109100</v>
      </c>
    </row>
    <row r="165" spans="1:12">
      <c r="A165" s="82"/>
      <c r="B165" s="144"/>
      <c r="C165" s="83"/>
      <c r="D165" s="83"/>
      <c r="E165" s="83"/>
      <c r="F165" s="83"/>
      <c r="G165" s="83"/>
      <c r="H165" s="83"/>
      <c r="I165" s="83"/>
      <c r="J165" s="83"/>
      <c r="K165" s="83"/>
      <c r="L165" s="143"/>
    </row>
    <row r="166" spans="1:12">
      <c r="A166" s="82">
        <v>131</v>
      </c>
      <c r="B166" s="144">
        <v>437000</v>
      </c>
      <c r="C166" s="83">
        <v>440000</v>
      </c>
      <c r="D166" s="83">
        <v>18840</v>
      </c>
      <c r="E166" s="83">
        <v>15610</v>
      </c>
      <c r="F166" s="83">
        <v>12370</v>
      </c>
      <c r="G166" s="83">
        <v>9140</v>
      </c>
      <c r="H166" s="83">
        <v>7110</v>
      </c>
      <c r="I166" s="83">
        <v>5480</v>
      </c>
      <c r="J166" s="83">
        <v>3870</v>
      </c>
      <c r="K166" s="83">
        <v>2260</v>
      </c>
      <c r="L166" s="143">
        <v>110900</v>
      </c>
    </row>
    <row r="167" spans="1:12">
      <c r="A167" s="82">
        <v>132</v>
      </c>
      <c r="B167" s="144">
        <v>440000</v>
      </c>
      <c r="C167" s="83">
        <v>443000</v>
      </c>
      <c r="D167" s="83">
        <v>19080</v>
      </c>
      <c r="E167" s="83">
        <v>15860</v>
      </c>
      <c r="F167" s="83">
        <v>12620</v>
      </c>
      <c r="G167" s="83">
        <v>9380</v>
      </c>
      <c r="H167" s="83">
        <v>7230</v>
      </c>
      <c r="I167" s="83">
        <v>5610</v>
      </c>
      <c r="J167" s="83">
        <v>3990</v>
      </c>
      <c r="K167" s="83">
        <v>2380</v>
      </c>
      <c r="L167" s="143">
        <v>112600</v>
      </c>
    </row>
    <row r="168" spans="1:12">
      <c r="A168" s="82">
        <v>133</v>
      </c>
      <c r="B168" s="144">
        <v>443000</v>
      </c>
      <c r="C168" s="83">
        <v>446000</v>
      </c>
      <c r="D168" s="83">
        <v>19330</v>
      </c>
      <c r="E168" s="83">
        <v>16100</v>
      </c>
      <c r="F168" s="83">
        <v>12860</v>
      </c>
      <c r="G168" s="83">
        <v>9630</v>
      </c>
      <c r="H168" s="83">
        <v>7350</v>
      </c>
      <c r="I168" s="83">
        <v>5730</v>
      </c>
      <c r="J168" s="83">
        <v>4110</v>
      </c>
      <c r="K168" s="83">
        <v>2500</v>
      </c>
      <c r="L168" s="143">
        <v>114200</v>
      </c>
    </row>
    <row r="169" spans="1:12">
      <c r="A169" s="82">
        <v>134</v>
      </c>
      <c r="B169" s="144">
        <v>446000</v>
      </c>
      <c r="C169" s="83">
        <v>449000</v>
      </c>
      <c r="D169" s="83">
        <v>19570</v>
      </c>
      <c r="E169" s="83">
        <v>16350</v>
      </c>
      <c r="F169" s="83">
        <v>13110</v>
      </c>
      <c r="G169" s="83">
        <v>9870</v>
      </c>
      <c r="H169" s="83">
        <v>7470</v>
      </c>
      <c r="I169" s="83">
        <v>5850</v>
      </c>
      <c r="J169" s="83">
        <v>4240</v>
      </c>
      <c r="K169" s="83">
        <v>2620</v>
      </c>
      <c r="L169" s="143">
        <v>116000</v>
      </c>
    </row>
    <row r="170" spans="1:12">
      <c r="A170" s="82">
        <v>135</v>
      </c>
      <c r="B170" s="144">
        <v>449000</v>
      </c>
      <c r="C170" s="83">
        <v>452000</v>
      </c>
      <c r="D170" s="83">
        <v>19860</v>
      </c>
      <c r="E170" s="83">
        <v>16590</v>
      </c>
      <c r="F170" s="83">
        <v>13350</v>
      </c>
      <c r="G170" s="83">
        <v>10120</v>
      </c>
      <c r="H170" s="83">
        <v>7600</v>
      </c>
      <c r="I170" s="83">
        <v>5970</v>
      </c>
      <c r="J170" s="83">
        <v>4360</v>
      </c>
      <c r="K170" s="83">
        <v>2750</v>
      </c>
      <c r="L170" s="143">
        <v>117600</v>
      </c>
    </row>
    <row r="171" spans="1:12">
      <c r="A171" s="82"/>
      <c r="B171" s="144"/>
      <c r="C171" s="83"/>
      <c r="D171" s="83"/>
      <c r="E171" s="83"/>
      <c r="F171" s="83"/>
      <c r="G171" s="83"/>
      <c r="H171" s="83"/>
      <c r="I171" s="83"/>
      <c r="J171" s="83"/>
      <c r="K171" s="83"/>
      <c r="L171" s="143"/>
    </row>
    <row r="172" spans="1:12">
      <c r="A172" s="82">
        <v>136</v>
      </c>
      <c r="B172" s="144">
        <v>452000</v>
      </c>
      <c r="C172" s="83">
        <v>455000</v>
      </c>
      <c r="D172" s="83">
        <v>20350</v>
      </c>
      <c r="E172" s="83">
        <v>16840</v>
      </c>
      <c r="F172" s="83">
        <v>13600</v>
      </c>
      <c r="G172" s="83">
        <v>10360</v>
      </c>
      <c r="H172" s="83">
        <v>7720</v>
      </c>
      <c r="I172" s="83">
        <v>6100</v>
      </c>
      <c r="J172" s="83">
        <v>4480</v>
      </c>
      <c r="K172" s="83">
        <v>2870</v>
      </c>
      <c r="L172" s="143">
        <v>119400</v>
      </c>
    </row>
    <row r="173" spans="1:12">
      <c r="A173" s="82">
        <v>137</v>
      </c>
      <c r="B173" s="144">
        <v>455000</v>
      </c>
      <c r="C173" s="83">
        <v>458000</v>
      </c>
      <c r="D173" s="83">
        <v>20840</v>
      </c>
      <c r="E173" s="83">
        <v>17080</v>
      </c>
      <c r="F173" s="83">
        <v>13840</v>
      </c>
      <c r="G173" s="83">
        <v>10610</v>
      </c>
      <c r="H173" s="83">
        <v>7840</v>
      </c>
      <c r="I173" s="83">
        <v>6220</v>
      </c>
      <c r="J173" s="83">
        <v>4600</v>
      </c>
      <c r="K173" s="83">
        <v>2990</v>
      </c>
      <c r="L173" s="143">
        <v>121100</v>
      </c>
    </row>
    <row r="174" spans="1:12">
      <c r="A174" s="82">
        <v>138</v>
      </c>
      <c r="B174" s="144">
        <v>458000</v>
      </c>
      <c r="C174" s="83">
        <v>461000</v>
      </c>
      <c r="D174" s="83">
        <v>21330</v>
      </c>
      <c r="E174" s="83">
        <v>17330</v>
      </c>
      <c r="F174" s="83">
        <v>14090</v>
      </c>
      <c r="G174" s="83">
        <v>10850</v>
      </c>
      <c r="H174" s="83">
        <v>7960</v>
      </c>
      <c r="I174" s="83">
        <v>6340</v>
      </c>
      <c r="J174" s="83">
        <v>4730</v>
      </c>
      <c r="K174" s="83">
        <v>3110</v>
      </c>
      <c r="L174" s="143">
        <v>122700</v>
      </c>
    </row>
    <row r="175" spans="1:12">
      <c r="A175" s="82">
        <v>139</v>
      </c>
      <c r="B175" s="144">
        <v>461000</v>
      </c>
      <c r="C175" s="83">
        <v>464000</v>
      </c>
      <c r="D175" s="83">
        <v>21820</v>
      </c>
      <c r="E175" s="83">
        <v>17570</v>
      </c>
      <c r="F175" s="83">
        <v>14330</v>
      </c>
      <c r="G175" s="83">
        <v>11100</v>
      </c>
      <c r="H175" s="83">
        <v>8090</v>
      </c>
      <c r="I175" s="83">
        <v>6460</v>
      </c>
      <c r="J175" s="83">
        <v>4850</v>
      </c>
      <c r="K175" s="83">
        <v>3240</v>
      </c>
      <c r="L175" s="143">
        <v>124500</v>
      </c>
    </row>
    <row r="176" spans="1:12">
      <c r="A176" s="82">
        <v>140</v>
      </c>
      <c r="B176" s="144">
        <v>464000</v>
      </c>
      <c r="C176" s="83">
        <v>467000</v>
      </c>
      <c r="D176" s="83">
        <v>22310</v>
      </c>
      <c r="E176" s="83">
        <v>17820</v>
      </c>
      <c r="F176" s="83">
        <v>14580</v>
      </c>
      <c r="G176" s="83">
        <v>11340</v>
      </c>
      <c r="H176" s="83">
        <v>8210</v>
      </c>
      <c r="I176" s="83">
        <v>6590</v>
      </c>
      <c r="J176" s="83">
        <v>4970</v>
      </c>
      <c r="K176" s="83">
        <v>3360</v>
      </c>
      <c r="L176" s="143">
        <v>126200</v>
      </c>
    </row>
    <row r="177" spans="1:12">
      <c r="A177" s="82"/>
      <c r="B177" s="144"/>
      <c r="C177" s="83"/>
      <c r="D177" s="83"/>
      <c r="E177" s="83"/>
      <c r="F177" s="83"/>
      <c r="G177" s="83"/>
      <c r="H177" s="83"/>
      <c r="I177" s="83"/>
      <c r="J177" s="83"/>
      <c r="K177" s="83"/>
      <c r="L177" s="143"/>
    </row>
    <row r="178" spans="1:12">
      <c r="A178" s="82">
        <v>141</v>
      </c>
      <c r="B178" s="144">
        <v>467000</v>
      </c>
      <c r="C178" s="83">
        <v>470000</v>
      </c>
      <c r="D178" s="83">
        <v>22800</v>
      </c>
      <c r="E178" s="83">
        <v>18060</v>
      </c>
      <c r="F178" s="83">
        <v>14820</v>
      </c>
      <c r="G178" s="83">
        <v>11590</v>
      </c>
      <c r="H178" s="83">
        <v>8360</v>
      </c>
      <c r="I178" s="83">
        <v>6710</v>
      </c>
      <c r="J178" s="83">
        <v>5090</v>
      </c>
      <c r="K178" s="83">
        <v>3480</v>
      </c>
      <c r="L178" s="143">
        <v>127800</v>
      </c>
    </row>
    <row r="179" spans="1:12">
      <c r="A179" s="82">
        <v>142</v>
      </c>
      <c r="B179" s="144">
        <v>470000</v>
      </c>
      <c r="C179" s="83">
        <v>473000</v>
      </c>
      <c r="D179" s="83">
        <v>23290</v>
      </c>
      <c r="E179" s="83">
        <v>18310</v>
      </c>
      <c r="F179" s="83">
        <v>15070</v>
      </c>
      <c r="G179" s="83">
        <v>11830</v>
      </c>
      <c r="H179" s="83">
        <v>8610</v>
      </c>
      <c r="I179" s="83">
        <v>6830</v>
      </c>
      <c r="J179" s="83">
        <v>5220</v>
      </c>
      <c r="K179" s="83">
        <v>3600</v>
      </c>
      <c r="L179" s="143">
        <v>129600</v>
      </c>
    </row>
    <row r="180" spans="1:12">
      <c r="A180" s="82">
        <v>143</v>
      </c>
      <c r="B180" s="144">
        <v>473000</v>
      </c>
      <c r="C180" s="83">
        <v>476000</v>
      </c>
      <c r="D180" s="83">
        <v>23780</v>
      </c>
      <c r="E180" s="83">
        <v>18550</v>
      </c>
      <c r="F180" s="83">
        <v>15320</v>
      </c>
      <c r="G180" s="83">
        <v>12080</v>
      </c>
      <c r="H180" s="83">
        <v>8850</v>
      </c>
      <c r="I180" s="83">
        <v>6950</v>
      </c>
      <c r="J180" s="83">
        <v>5340</v>
      </c>
      <c r="K180" s="83">
        <v>3730</v>
      </c>
      <c r="L180" s="143">
        <v>131200</v>
      </c>
    </row>
    <row r="181" spans="1:12">
      <c r="A181" s="82">
        <v>144</v>
      </c>
      <c r="B181" s="144">
        <v>476000</v>
      </c>
      <c r="C181" s="83">
        <v>479000</v>
      </c>
      <c r="D181" s="83">
        <v>24270</v>
      </c>
      <c r="E181" s="83">
        <v>18800</v>
      </c>
      <c r="F181" s="83">
        <v>15560</v>
      </c>
      <c r="G181" s="83">
        <v>12320</v>
      </c>
      <c r="H181" s="83">
        <v>9100</v>
      </c>
      <c r="I181" s="83">
        <v>7080</v>
      </c>
      <c r="J181" s="83">
        <v>5460</v>
      </c>
      <c r="K181" s="83">
        <v>3850</v>
      </c>
      <c r="L181" s="143">
        <v>132800</v>
      </c>
    </row>
    <row r="182" spans="1:12">
      <c r="A182" s="82">
        <v>145</v>
      </c>
      <c r="B182" s="144">
        <v>479000</v>
      </c>
      <c r="C182" s="83">
        <v>482000</v>
      </c>
      <c r="D182" s="83">
        <v>24760</v>
      </c>
      <c r="E182" s="83">
        <v>19040</v>
      </c>
      <c r="F182" s="83">
        <v>15810</v>
      </c>
      <c r="G182" s="83">
        <v>12570</v>
      </c>
      <c r="H182" s="83">
        <v>9340</v>
      </c>
      <c r="I182" s="83">
        <v>7200</v>
      </c>
      <c r="J182" s="83">
        <v>5580</v>
      </c>
      <c r="K182" s="83">
        <v>3970</v>
      </c>
      <c r="L182" s="143">
        <v>134500</v>
      </c>
    </row>
    <row r="183" spans="1:12">
      <c r="A183" s="138"/>
      <c r="B183" s="147"/>
      <c r="C183" s="146"/>
      <c r="D183" s="146"/>
      <c r="E183" s="146"/>
      <c r="F183" s="146"/>
      <c r="G183" s="146"/>
      <c r="H183" s="146"/>
      <c r="I183" s="146"/>
      <c r="J183" s="146"/>
      <c r="K183" s="146"/>
      <c r="L183" s="145"/>
    </row>
    <row r="184" spans="1:12">
      <c r="A184" s="82">
        <v>146</v>
      </c>
      <c r="B184" s="144">
        <v>482000</v>
      </c>
      <c r="C184" s="83">
        <v>485000</v>
      </c>
      <c r="D184" s="83">
        <v>25250</v>
      </c>
      <c r="E184" s="83">
        <v>19290</v>
      </c>
      <c r="F184" s="83">
        <v>16050</v>
      </c>
      <c r="G184" s="83">
        <v>12810</v>
      </c>
      <c r="H184" s="83">
        <v>9590</v>
      </c>
      <c r="I184" s="83">
        <v>7320</v>
      </c>
      <c r="J184" s="83">
        <v>5710</v>
      </c>
      <c r="K184" s="83">
        <v>4090</v>
      </c>
      <c r="L184" s="143">
        <v>136100</v>
      </c>
    </row>
    <row r="185" spans="1:12">
      <c r="A185" s="82">
        <v>147</v>
      </c>
      <c r="B185" s="144">
        <v>485000</v>
      </c>
      <c r="C185" s="83">
        <v>488000</v>
      </c>
      <c r="D185" s="83">
        <v>25740</v>
      </c>
      <c r="E185" s="83">
        <v>19530</v>
      </c>
      <c r="F185" s="83">
        <v>16300</v>
      </c>
      <c r="G185" s="83">
        <v>13060</v>
      </c>
      <c r="H185" s="83">
        <v>9830</v>
      </c>
      <c r="I185" s="83">
        <v>7440</v>
      </c>
      <c r="J185" s="83">
        <v>5830</v>
      </c>
      <c r="K185" s="83">
        <v>4220</v>
      </c>
      <c r="L185" s="143">
        <v>137600</v>
      </c>
    </row>
    <row r="186" spans="1:12">
      <c r="A186" s="82">
        <v>148</v>
      </c>
      <c r="B186" s="144">
        <v>488000</v>
      </c>
      <c r="C186" s="83">
        <v>491000</v>
      </c>
      <c r="D186" s="83">
        <v>26230</v>
      </c>
      <c r="E186" s="83">
        <v>19780</v>
      </c>
      <c r="F186" s="83">
        <v>16540</v>
      </c>
      <c r="G186" s="83">
        <v>13300</v>
      </c>
      <c r="H186" s="83">
        <v>10080</v>
      </c>
      <c r="I186" s="83">
        <v>7570</v>
      </c>
      <c r="J186" s="83">
        <v>5950</v>
      </c>
      <c r="K186" s="83">
        <v>4340</v>
      </c>
      <c r="L186" s="143">
        <v>139300</v>
      </c>
    </row>
    <row r="187" spans="1:12">
      <c r="A187" s="82">
        <v>149</v>
      </c>
      <c r="B187" s="144">
        <v>491000</v>
      </c>
      <c r="C187" s="83">
        <v>494000</v>
      </c>
      <c r="D187" s="83">
        <v>26720</v>
      </c>
      <c r="E187" s="83">
        <v>20260</v>
      </c>
      <c r="F187" s="83">
        <v>16790</v>
      </c>
      <c r="G187" s="83">
        <v>13550</v>
      </c>
      <c r="H187" s="83">
        <v>10320</v>
      </c>
      <c r="I187" s="83">
        <v>7690</v>
      </c>
      <c r="J187" s="83">
        <v>6070</v>
      </c>
      <c r="K187" s="83">
        <v>4460</v>
      </c>
      <c r="L187" s="143">
        <v>140900</v>
      </c>
    </row>
    <row r="188" spans="1:12">
      <c r="A188" s="82">
        <v>150</v>
      </c>
      <c r="B188" s="144">
        <v>494000</v>
      </c>
      <c r="C188" s="83">
        <v>497000</v>
      </c>
      <c r="D188" s="83">
        <v>27210</v>
      </c>
      <c r="E188" s="83">
        <v>20750</v>
      </c>
      <c r="F188" s="83">
        <v>17030</v>
      </c>
      <c r="G188" s="83">
        <v>13790</v>
      </c>
      <c r="H188" s="83">
        <v>10570</v>
      </c>
      <c r="I188" s="83">
        <v>7810</v>
      </c>
      <c r="J188" s="83">
        <v>6200</v>
      </c>
      <c r="K188" s="83">
        <v>4580</v>
      </c>
      <c r="L188" s="143">
        <v>142500</v>
      </c>
    </row>
    <row r="189" spans="1:12">
      <c r="A189" s="82"/>
      <c r="B189" s="144"/>
      <c r="C189" s="83"/>
      <c r="D189" s="83"/>
      <c r="E189" s="83"/>
      <c r="F189" s="83"/>
      <c r="G189" s="83"/>
      <c r="H189" s="83"/>
      <c r="I189" s="83"/>
      <c r="J189" s="83"/>
      <c r="K189" s="83"/>
      <c r="L189" s="143"/>
    </row>
    <row r="190" spans="1:12">
      <c r="A190" s="82">
        <v>151</v>
      </c>
      <c r="B190" s="144">
        <v>497000</v>
      </c>
      <c r="C190" s="83">
        <v>500000</v>
      </c>
      <c r="D190" s="83">
        <v>27700</v>
      </c>
      <c r="E190" s="83">
        <v>21240</v>
      </c>
      <c r="F190" s="83">
        <v>17280</v>
      </c>
      <c r="G190" s="83">
        <v>14040</v>
      </c>
      <c r="H190" s="83">
        <v>10810</v>
      </c>
      <c r="I190" s="83">
        <v>7930</v>
      </c>
      <c r="J190" s="83">
        <v>6320</v>
      </c>
      <c r="K190" s="83">
        <v>4710</v>
      </c>
      <c r="L190" s="143">
        <v>144100</v>
      </c>
    </row>
    <row r="191" spans="1:12">
      <c r="A191" s="82">
        <v>152</v>
      </c>
      <c r="B191" s="144">
        <v>500000</v>
      </c>
      <c r="C191" s="83">
        <v>503000</v>
      </c>
      <c r="D191" s="83">
        <v>28190</v>
      </c>
      <c r="E191" s="83">
        <v>21730</v>
      </c>
      <c r="F191" s="83">
        <v>17520</v>
      </c>
      <c r="G191" s="83">
        <v>14280</v>
      </c>
      <c r="H191" s="83">
        <v>11060</v>
      </c>
      <c r="I191" s="83">
        <v>8060</v>
      </c>
      <c r="J191" s="83">
        <v>6440</v>
      </c>
      <c r="K191" s="83">
        <v>4830</v>
      </c>
      <c r="L191" s="143">
        <v>145700</v>
      </c>
    </row>
    <row r="192" spans="1:12">
      <c r="A192" s="82">
        <v>153</v>
      </c>
      <c r="B192" s="144">
        <v>503000</v>
      </c>
      <c r="C192" s="83">
        <v>506000</v>
      </c>
      <c r="D192" s="83">
        <v>28680</v>
      </c>
      <c r="E192" s="83">
        <v>22220</v>
      </c>
      <c r="F192" s="83">
        <v>17770</v>
      </c>
      <c r="G192" s="83">
        <v>14530</v>
      </c>
      <c r="H192" s="83">
        <v>11300</v>
      </c>
      <c r="I192" s="83">
        <v>8180</v>
      </c>
      <c r="J192" s="83">
        <v>6570</v>
      </c>
      <c r="K192" s="83">
        <v>4950</v>
      </c>
      <c r="L192" s="143">
        <v>147300</v>
      </c>
    </row>
    <row r="193" spans="1:12">
      <c r="A193" s="82">
        <v>154</v>
      </c>
      <c r="B193" s="144">
        <v>506000</v>
      </c>
      <c r="C193" s="83">
        <v>509000</v>
      </c>
      <c r="D193" s="83">
        <v>29170</v>
      </c>
      <c r="E193" s="83">
        <v>22710</v>
      </c>
      <c r="F193" s="83">
        <v>18010</v>
      </c>
      <c r="G193" s="83">
        <v>14770</v>
      </c>
      <c r="H193" s="83">
        <v>11550</v>
      </c>
      <c r="I193" s="83">
        <v>8310</v>
      </c>
      <c r="J193" s="83">
        <v>6690</v>
      </c>
      <c r="K193" s="83">
        <v>5070</v>
      </c>
      <c r="L193" s="143">
        <v>149000</v>
      </c>
    </row>
    <row r="194" spans="1:12">
      <c r="A194" s="82">
        <v>155</v>
      </c>
      <c r="B194" s="144">
        <v>509000</v>
      </c>
      <c r="C194" s="83">
        <v>512000</v>
      </c>
      <c r="D194" s="83">
        <v>29660</v>
      </c>
      <c r="E194" s="83">
        <v>23200</v>
      </c>
      <c r="F194" s="83">
        <v>18260</v>
      </c>
      <c r="G194" s="83">
        <v>15020</v>
      </c>
      <c r="H194" s="83">
        <v>11790</v>
      </c>
      <c r="I194" s="83">
        <v>8560</v>
      </c>
      <c r="J194" s="83">
        <v>6810</v>
      </c>
      <c r="K194" s="83">
        <v>5200</v>
      </c>
      <c r="L194" s="143">
        <v>150500</v>
      </c>
    </row>
    <row r="195" spans="1:12">
      <c r="A195" s="82"/>
      <c r="B195" s="144"/>
      <c r="C195" s="83"/>
      <c r="D195" s="83"/>
      <c r="E195" s="83"/>
      <c r="F195" s="83"/>
      <c r="G195" s="83"/>
      <c r="H195" s="83"/>
      <c r="I195" s="83"/>
      <c r="J195" s="83"/>
      <c r="K195" s="83"/>
      <c r="L195" s="143"/>
    </row>
    <row r="196" spans="1:12">
      <c r="A196" s="82">
        <v>156</v>
      </c>
      <c r="B196" s="144">
        <v>512000</v>
      </c>
      <c r="C196" s="83">
        <v>515000</v>
      </c>
      <c r="D196" s="83">
        <v>30150</v>
      </c>
      <c r="E196" s="83">
        <v>23690</v>
      </c>
      <c r="F196" s="83">
        <v>18500</v>
      </c>
      <c r="G196" s="83">
        <v>15260</v>
      </c>
      <c r="H196" s="83">
        <v>12040</v>
      </c>
      <c r="I196" s="83">
        <v>8800</v>
      </c>
      <c r="J196" s="83">
        <v>6930</v>
      </c>
      <c r="K196" s="83">
        <v>5320</v>
      </c>
      <c r="L196" s="143">
        <v>152100</v>
      </c>
    </row>
    <row r="197" spans="1:12">
      <c r="A197" s="82">
        <v>157</v>
      </c>
      <c r="B197" s="144">
        <v>515000</v>
      </c>
      <c r="C197" s="83">
        <v>518000</v>
      </c>
      <c r="D197" s="83">
        <v>30640</v>
      </c>
      <c r="E197" s="83">
        <v>24180</v>
      </c>
      <c r="F197" s="83">
        <v>18750</v>
      </c>
      <c r="G197" s="83">
        <v>15510</v>
      </c>
      <c r="H197" s="83">
        <v>12280</v>
      </c>
      <c r="I197" s="83">
        <v>9050</v>
      </c>
      <c r="J197" s="83">
        <v>7060</v>
      </c>
      <c r="K197" s="83">
        <v>5440</v>
      </c>
      <c r="L197" s="143">
        <v>153800</v>
      </c>
    </row>
    <row r="198" spans="1:12">
      <c r="A198" s="82">
        <v>158</v>
      </c>
      <c r="B198" s="144">
        <v>518000</v>
      </c>
      <c r="C198" s="83">
        <v>521000</v>
      </c>
      <c r="D198" s="83">
        <v>31130</v>
      </c>
      <c r="E198" s="83">
        <v>24670</v>
      </c>
      <c r="F198" s="83">
        <v>18990</v>
      </c>
      <c r="G198" s="83">
        <v>15750</v>
      </c>
      <c r="H198" s="83">
        <v>12530</v>
      </c>
      <c r="I198" s="83">
        <v>9290</v>
      </c>
      <c r="J198" s="83">
        <v>7180</v>
      </c>
      <c r="K198" s="83">
        <v>5560</v>
      </c>
      <c r="L198" s="143">
        <v>155400</v>
      </c>
    </row>
    <row r="199" spans="1:12">
      <c r="A199" s="82">
        <v>159</v>
      </c>
      <c r="B199" s="144">
        <v>521000</v>
      </c>
      <c r="C199" s="83">
        <v>524000</v>
      </c>
      <c r="D199" s="83">
        <v>31620</v>
      </c>
      <c r="E199" s="83">
        <v>25160</v>
      </c>
      <c r="F199" s="83">
        <v>19240</v>
      </c>
      <c r="G199" s="83">
        <v>16000</v>
      </c>
      <c r="H199" s="83">
        <v>12770</v>
      </c>
      <c r="I199" s="83">
        <v>9540</v>
      </c>
      <c r="J199" s="83">
        <v>7300</v>
      </c>
      <c r="K199" s="83">
        <v>5690</v>
      </c>
      <c r="L199" s="143">
        <v>156900</v>
      </c>
    </row>
    <row r="200" spans="1:12">
      <c r="A200" s="82">
        <v>160</v>
      </c>
      <c r="B200" s="144">
        <v>524000</v>
      </c>
      <c r="C200" s="83">
        <v>527000</v>
      </c>
      <c r="D200" s="83">
        <v>32110</v>
      </c>
      <c r="E200" s="83">
        <v>25650</v>
      </c>
      <c r="F200" s="83">
        <v>19480</v>
      </c>
      <c r="G200" s="83">
        <v>16240</v>
      </c>
      <c r="H200" s="83">
        <v>13020</v>
      </c>
      <c r="I200" s="83">
        <v>9780</v>
      </c>
      <c r="J200" s="83">
        <v>7420</v>
      </c>
      <c r="K200" s="83">
        <v>5810</v>
      </c>
      <c r="L200" s="143">
        <v>158600</v>
      </c>
    </row>
    <row r="201" spans="1:12">
      <c r="A201" s="82"/>
      <c r="B201" s="144"/>
      <c r="C201" s="83"/>
      <c r="D201" s="83"/>
      <c r="E201" s="83"/>
      <c r="F201" s="83"/>
      <c r="G201" s="83"/>
      <c r="H201" s="83"/>
      <c r="I201" s="83"/>
      <c r="J201" s="83"/>
      <c r="K201" s="83"/>
      <c r="L201" s="143"/>
    </row>
    <row r="202" spans="1:12">
      <c r="A202" s="82">
        <v>161</v>
      </c>
      <c r="B202" s="144">
        <v>527000</v>
      </c>
      <c r="C202" s="83">
        <v>530000</v>
      </c>
      <c r="D202" s="83">
        <v>32600</v>
      </c>
      <c r="E202" s="83">
        <v>26140</v>
      </c>
      <c r="F202" s="83">
        <v>19730</v>
      </c>
      <c r="G202" s="83">
        <v>16490</v>
      </c>
      <c r="H202" s="83">
        <v>13260</v>
      </c>
      <c r="I202" s="83">
        <v>10030</v>
      </c>
      <c r="J202" s="83">
        <v>7550</v>
      </c>
      <c r="K202" s="83">
        <v>5930</v>
      </c>
      <c r="L202" s="143">
        <v>160200</v>
      </c>
    </row>
    <row r="203" spans="1:12">
      <c r="A203" s="82">
        <v>162</v>
      </c>
      <c r="B203" s="144">
        <v>530000</v>
      </c>
      <c r="C203" s="83">
        <v>533000</v>
      </c>
      <c r="D203" s="83">
        <v>33090</v>
      </c>
      <c r="E203" s="83">
        <v>26630</v>
      </c>
      <c r="F203" s="83">
        <v>20160</v>
      </c>
      <c r="G203" s="83">
        <v>16730</v>
      </c>
      <c r="H203" s="83">
        <v>13510</v>
      </c>
      <c r="I203" s="83">
        <v>10270</v>
      </c>
      <c r="J203" s="83">
        <v>7670</v>
      </c>
      <c r="K203" s="83">
        <v>6050</v>
      </c>
      <c r="L203" s="143">
        <v>161600</v>
      </c>
    </row>
    <row r="204" spans="1:12">
      <c r="A204" s="82">
        <v>163</v>
      </c>
      <c r="B204" s="144">
        <v>533000</v>
      </c>
      <c r="C204" s="83">
        <v>536000</v>
      </c>
      <c r="D204" s="83">
        <v>33580</v>
      </c>
      <c r="E204" s="83">
        <v>27120</v>
      </c>
      <c r="F204" s="83">
        <v>20650</v>
      </c>
      <c r="G204" s="83">
        <v>16980</v>
      </c>
      <c r="H204" s="83">
        <v>13750</v>
      </c>
      <c r="I204" s="83">
        <v>10520</v>
      </c>
      <c r="J204" s="83">
        <v>7790</v>
      </c>
      <c r="K204" s="83">
        <v>6180</v>
      </c>
      <c r="L204" s="143">
        <v>163200</v>
      </c>
    </row>
    <row r="205" spans="1:12">
      <c r="A205" s="82">
        <v>164</v>
      </c>
      <c r="B205" s="144">
        <v>536000</v>
      </c>
      <c r="C205" s="83">
        <v>539000</v>
      </c>
      <c r="D205" s="83">
        <v>34070</v>
      </c>
      <c r="E205" s="83">
        <v>27610</v>
      </c>
      <c r="F205" s="83">
        <v>21140</v>
      </c>
      <c r="G205" s="83">
        <v>17220</v>
      </c>
      <c r="H205" s="83">
        <v>14000</v>
      </c>
      <c r="I205" s="83">
        <v>10760</v>
      </c>
      <c r="J205" s="83">
        <v>7910</v>
      </c>
      <c r="K205" s="83">
        <v>6300</v>
      </c>
      <c r="L205" s="143">
        <v>164600</v>
      </c>
    </row>
    <row r="206" spans="1:12">
      <c r="A206" s="82">
        <v>165</v>
      </c>
      <c r="B206" s="144">
        <v>539000</v>
      </c>
      <c r="C206" s="83">
        <v>542000</v>
      </c>
      <c r="D206" s="83">
        <v>34560</v>
      </c>
      <c r="E206" s="83">
        <v>28100</v>
      </c>
      <c r="F206" s="83">
        <v>21630</v>
      </c>
      <c r="G206" s="83">
        <v>17470</v>
      </c>
      <c r="H206" s="83">
        <v>14240</v>
      </c>
      <c r="I206" s="83">
        <v>11010</v>
      </c>
      <c r="J206" s="83">
        <v>8040</v>
      </c>
      <c r="K206" s="83">
        <v>6420</v>
      </c>
      <c r="L206" s="143">
        <v>166000</v>
      </c>
    </row>
    <row r="207" spans="1:12">
      <c r="A207" s="82"/>
      <c r="B207" s="144"/>
      <c r="C207" s="83"/>
      <c r="D207" s="83"/>
      <c r="E207" s="83"/>
      <c r="F207" s="83"/>
      <c r="G207" s="83"/>
      <c r="H207" s="83"/>
      <c r="I207" s="83"/>
      <c r="J207" s="83"/>
      <c r="K207" s="83"/>
      <c r="L207" s="143"/>
    </row>
    <row r="208" spans="1:12">
      <c r="A208" s="82">
        <v>166</v>
      </c>
      <c r="B208" s="144">
        <v>542000</v>
      </c>
      <c r="C208" s="83">
        <v>545000</v>
      </c>
      <c r="D208" s="83">
        <v>35050</v>
      </c>
      <c r="E208" s="83">
        <v>28590</v>
      </c>
      <c r="F208" s="83">
        <v>22130</v>
      </c>
      <c r="G208" s="83">
        <v>17710</v>
      </c>
      <c r="H208" s="83">
        <v>14490</v>
      </c>
      <c r="I208" s="83">
        <v>11250</v>
      </c>
      <c r="J208" s="83">
        <v>8160</v>
      </c>
      <c r="K208" s="83">
        <v>6540</v>
      </c>
      <c r="L208" s="143">
        <v>167500</v>
      </c>
    </row>
    <row r="209" spans="1:12">
      <c r="A209" s="82">
        <v>167</v>
      </c>
      <c r="B209" s="144">
        <v>545000</v>
      </c>
      <c r="C209" s="83">
        <v>548000</v>
      </c>
      <c r="D209" s="83">
        <v>35540</v>
      </c>
      <c r="E209" s="83">
        <v>29080</v>
      </c>
      <c r="F209" s="83">
        <v>22620</v>
      </c>
      <c r="G209" s="83">
        <v>17960</v>
      </c>
      <c r="H209" s="83">
        <v>14730</v>
      </c>
      <c r="I209" s="83">
        <v>11500</v>
      </c>
      <c r="J209" s="83">
        <v>8280</v>
      </c>
      <c r="K209" s="83">
        <v>6670</v>
      </c>
      <c r="L209" s="143">
        <v>169000</v>
      </c>
    </row>
    <row r="210" spans="1:12">
      <c r="A210" s="82">
        <v>168</v>
      </c>
      <c r="B210" s="144">
        <v>548000</v>
      </c>
      <c r="C210" s="83">
        <v>551000</v>
      </c>
      <c r="D210" s="83">
        <v>36030</v>
      </c>
      <c r="E210" s="83">
        <v>29570</v>
      </c>
      <c r="F210" s="83">
        <v>23110</v>
      </c>
      <c r="G210" s="83">
        <v>18200</v>
      </c>
      <c r="H210" s="83">
        <v>14980</v>
      </c>
      <c r="I210" s="83">
        <v>11740</v>
      </c>
      <c r="J210" s="83">
        <v>8500</v>
      </c>
      <c r="K210" s="83">
        <v>6790</v>
      </c>
      <c r="L210" s="143">
        <v>170500</v>
      </c>
    </row>
    <row r="211" spans="1:12">
      <c r="A211" s="82">
        <v>169</v>
      </c>
      <c r="B211" s="144">
        <v>551000</v>
      </c>
      <c r="C211" s="83">
        <v>554000</v>
      </c>
      <c r="D211" s="83">
        <v>36570</v>
      </c>
      <c r="E211" s="83">
        <v>30110</v>
      </c>
      <c r="F211" s="83">
        <v>23650</v>
      </c>
      <c r="G211" s="83">
        <v>18480</v>
      </c>
      <c r="H211" s="83">
        <v>15240</v>
      </c>
      <c r="I211" s="83">
        <v>12020</v>
      </c>
      <c r="J211" s="83">
        <v>8780</v>
      </c>
      <c r="K211" s="83">
        <v>6920</v>
      </c>
      <c r="L211" s="143">
        <v>171900</v>
      </c>
    </row>
    <row r="212" spans="1:12">
      <c r="A212" s="82">
        <v>170</v>
      </c>
      <c r="B212" s="144">
        <v>554000</v>
      </c>
      <c r="C212" s="83">
        <v>557000</v>
      </c>
      <c r="D212" s="83">
        <v>37120</v>
      </c>
      <c r="E212" s="83">
        <v>30660</v>
      </c>
      <c r="F212" s="83">
        <v>24200</v>
      </c>
      <c r="G212" s="83">
        <v>18760</v>
      </c>
      <c r="H212" s="83">
        <v>15520</v>
      </c>
      <c r="I212" s="83">
        <v>12290</v>
      </c>
      <c r="J212" s="83">
        <v>9060</v>
      </c>
      <c r="K212" s="83">
        <v>7060</v>
      </c>
      <c r="L212" s="143">
        <v>173400</v>
      </c>
    </row>
    <row r="213" spans="1:12">
      <c r="A213" s="82"/>
      <c r="B213" s="144"/>
      <c r="C213" s="83"/>
      <c r="D213" s="83"/>
      <c r="E213" s="83"/>
      <c r="F213" s="83"/>
      <c r="G213" s="83"/>
      <c r="H213" s="83"/>
      <c r="I213" s="83"/>
      <c r="J213" s="83"/>
      <c r="K213" s="83"/>
      <c r="L213" s="143"/>
    </row>
    <row r="214" spans="1:12">
      <c r="A214" s="82">
        <v>171</v>
      </c>
      <c r="B214" s="144">
        <v>557000</v>
      </c>
      <c r="C214" s="83">
        <v>560000</v>
      </c>
      <c r="D214" s="83">
        <v>37670</v>
      </c>
      <c r="E214" s="83">
        <v>31210</v>
      </c>
      <c r="F214" s="83">
        <v>24750</v>
      </c>
      <c r="G214" s="83">
        <v>19030</v>
      </c>
      <c r="H214" s="83">
        <v>15790</v>
      </c>
      <c r="I214" s="83">
        <v>12570</v>
      </c>
      <c r="J214" s="83">
        <v>9330</v>
      </c>
      <c r="K214" s="83">
        <v>7200</v>
      </c>
      <c r="L214" s="143">
        <v>174900</v>
      </c>
    </row>
    <row r="215" spans="1:12">
      <c r="A215" s="82">
        <v>172</v>
      </c>
      <c r="B215" s="144">
        <v>560000</v>
      </c>
      <c r="C215" s="83">
        <v>563000</v>
      </c>
      <c r="D215" s="83">
        <v>38230</v>
      </c>
      <c r="E215" s="83">
        <v>31760</v>
      </c>
      <c r="F215" s="83">
        <v>25300</v>
      </c>
      <c r="G215" s="83">
        <v>19310</v>
      </c>
      <c r="H215" s="83">
        <v>16070</v>
      </c>
      <c r="I215" s="83">
        <v>12840</v>
      </c>
      <c r="J215" s="83">
        <v>9610</v>
      </c>
      <c r="K215" s="83">
        <v>7330</v>
      </c>
      <c r="L215" s="143">
        <v>176300</v>
      </c>
    </row>
    <row r="216" spans="1:12">
      <c r="A216" s="82">
        <v>173</v>
      </c>
      <c r="B216" s="144">
        <v>563000</v>
      </c>
      <c r="C216" s="83">
        <v>566000</v>
      </c>
      <c r="D216" s="83">
        <v>38780</v>
      </c>
      <c r="E216" s="83">
        <v>32310</v>
      </c>
      <c r="F216" s="83">
        <v>25850</v>
      </c>
      <c r="G216" s="83">
        <v>19580</v>
      </c>
      <c r="H216" s="83">
        <v>16350</v>
      </c>
      <c r="I216" s="83">
        <v>13120</v>
      </c>
      <c r="J216" s="83">
        <v>9880</v>
      </c>
      <c r="K216" s="83">
        <v>7470</v>
      </c>
      <c r="L216" s="143">
        <v>177900</v>
      </c>
    </row>
    <row r="217" spans="1:12">
      <c r="A217" s="82">
        <v>174</v>
      </c>
      <c r="B217" s="144">
        <v>566000</v>
      </c>
      <c r="C217" s="83">
        <v>569000</v>
      </c>
      <c r="D217" s="83">
        <v>39330</v>
      </c>
      <c r="E217" s="83">
        <v>32870</v>
      </c>
      <c r="F217" s="83">
        <v>26400</v>
      </c>
      <c r="G217" s="83">
        <v>19930</v>
      </c>
      <c r="H217" s="83">
        <v>16620</v>
      </c>
      <c r="I217" s="83">
        <v>13400</v>
      </c>
      <c r="J217" s="83">
        <v>10160</v>
      </c>
      <c r="K217" s="83">
        <v>7610</v>
      </c>
      <c r="L217" s="143">
        <v>179300</v>
      </c>
    </row>
    <row r="218" spans="1:12">
      <c r="A218" s="82">
        <v>175</v>
      </c>
      <c r="B218" s="144">
        <v>569000</v>
      </c>
      <c r="C218" s="83">
        <v>572000</v>
      </c>
      <c r="D218" s="83">
        <v>39880</v>
      </c>
      <c r="E218" s="83">
        <v>33420</v>
      </c>
      <c r="F218" s="83">
        <v>26950</v>
      </c>
      <c r="G218" s="83">
        <v>20480</v>
      </c>
      <c r="H218" s="83">
        <v>16900</v>
      </c>
      <c r="I218" s="83">
        <v>13670</v>
      </c>
      <c r="J218" s="83">
        <v>10430</v>
      </c>
      <c r="K218" s="83">
        <v>7750</v>
      </c>
      <c r="L218" s="143">
        <v>180700</v>
      </c>
    </row>
    <row r="219" spans="1:12">
      <c r="A219" s="82"/>
      <c r="B219" s="144"/>
      <c r="C219" s="83"/>
      <c r="D219" s="83"/>
      <c r="E219" s="83"/>
      <c r="F219" s="83"/>
      <c r="G219" s="83"/>
      <c r="H219" s="83"/>
      <c r="I219" s="83"/>
      <c r="J219" s="83"/>
      <c r="K219" s="83"/>
      <c r="L219" s="143"/>
    </row>
    <row r="220" spans="1:12">
      <c r="A220" s="82">
        <v>176</v>
      </c>
      <c r="B220" s="144">
        <v>572000</v>
      </c>
      <c r="C220" s="83">
        <v>575000</v>
      </c>
      <c r="D220" s="83">
        <v>40430</v>
      </c>
      <c r="E220" s="83">
        <v>33970</v>
      </c>
      <c r="F220" s="83">
        <v>27510</v>
      </c>
      <c r="G220" s="83">
        <v>21030</v>
      </c>
      <c r="H220" s="83">
        <v>17170</v>
      </c>
      <c r="I220" s="83">
        <v>13950</v>
      </c>
      <c r="J220" s="83">
        <v>10710</v>
      </c>
      <c r="K220" s="83">
        <v>7880</v>
      </c>
      <c r="L220" s="143">
        <v>182200</v>
      </c>
    </row>
    <row r="221" spans="1:12">
      <c r="A221" s="82">
        <v>177</v>
      </c>
      <c r="B221" s="144">
        <v>575000</v>
      </c>
      <c r="C221" s="83">
        <v>578000</v>
      </c>
      <c r="D221" s="83">
        <v>40980</v>
      </c>
      <c r="E221" s="83">
        <v>34520</v>
      </c>
      <c r="F221" s="83">
        <v>28060</v>
      </c>
      <c r="G221" s="83">
        <v>21580</v>
      </c>
      <c r="H221" s="83">
        <v>17450</v>
      </c>
      <c r="I221" s="83">
        <v>14220</v>
      </c>
      <c r="J221" s="83">
        <v>10990</v>
      </c>
      <c r="K221" s="83">
        <v>8030</v>
      </c>
      <c r="L221" s="143">
        <v>183700</v>
      </c>
    </row>
    <row r="222" spans="1:12">
      <c r="A222" s="82">
        <v>178</v>
      </c>
      <c r="B222" s="144">
        <v>578000</v>
      </c>
      <c r="C222" s="83">
        <v>581000</v>
      </c>
      <c r="D222" s="83">
        <v>41530</v>
      </c>
      <c r="E222" s="83">
        <v>35070</v>
      </c>
      <c r="F222" s="83">
        <v>28610</v>
      </c>
      <c r="G222" s="83">
        <v>22140</v>
      </c>
      <c r="H222" s="83">
        <v>17720</v>
      </c>
      <c r="I222" s="83">
        <v>14500</v>
      </c>
      <c r="J222" s="83">
        <v>11260</v>
      </c>
      <c r="K222" s="83">
        <v>8160</v>
      </c>
      <c r="L222" s="143">
        <v>185200</v>
      </c>
    </row>
    <row r="223" spans="1:12">
      <c r="A223" s="82">
        <v>179</v>
      </c>
      <c r="B223" s="144">
        <v>581000</v>
      </c>
      <c r="C223" s="83">
        <v>584000</v>
      </c>
      <c r="D223" s="83">
        <v>42090</v>
      </c>
      <c r="E223" s="83">
        <v>35620</v>
      </c>
      <c r="F223" s="83">
        <v>29160</v>
      </c>
      <c r="G223" s="83">
        <v>22690</v>
      </c>
      <c r="H223" s="83">
        <v>18000</v>
      </c>
      <c r="I223" s="83">
        <v>14770</v>
      </c>
      <c r="J223" s="83">
        <v>11540</v>
      </c>
      <c r="K223" s="83">
        <v>8300</v>
      </c>
      <c r="L223" s="143">
        <v>186600</v>
      </c>
    </row>
    <row r="224" spans="1:12">
      <c r="A224" s="82">
        <v>180</v>
      </c>
      <c r="B224" s="144">
        <v>584000</v>
      </c>
      <c r="C224" s="83">
        <v>587000</v>
      </c>
      <c r="D224" s="83">
        <v>42640</v>
      </c>
      <c r="E224" s="83">
        <v>36170</v>
      </c>
      <c r="F224" s="83">
        <v>29710</v>
      </c>
      <c r="G224" s="83">
        <v>23240</v>
      </c>
      <c r="H224" s="83">
        <v>18280</v>
      </c>
      <c r="I224" s="83">
        <v>15050</v>
      </c>
      <c r="J224" s="83">
        <v>11810</v>
      </c>
      <c r="K224" s="83">
        <v>8580</v>
      </c>
      <c r="L224" s="143">
        <v>188100</v>
      </c>
    </row>
    <row r="225" spans="1:12">
      <c r="A225" s="82"/>
      <c r="B225" s="144"/>
      <c r="C225" s="83"/>
      <c r="D225" s="83"/>
      <c r="E225" s="83"/>
      <c r="F225" s="83"/>
      <c r="G225" s="83"/>
      <c r="H225" s="83"/>
      <c r="I225" s="83"/>
      <c r="J225" s="83"/>
      <c r="K225" s="83"/>
      <c r="L225" s="143"/>
    </row>
    <row r="226" spans="1:12">
      <c r="A226" s="82">
        <v>181</v>
      </c>
      <c r="B226" s="144">
        <v>587000</v>
      </c>
      <c r="C226" s="83">
        <v>590000</v>
      </c>
      <c r="D226" s="83">
        <v>43190</v>
      </c>
      <c r="E226" s="83">
        <v>36730</v>
      </c>
      <c r="F226" s="83">
        <v>30260</v>
      </c>
      <c r="G226" s="83">
        <v>23790</v>
      </c>
      <c r="H226" s="83">
        <v>18550</v>
      </c>
      <c r="I226" s="83">
        <v>15330</v>
      </c>
      <c r="J226" s="83">
        <v>12090</v>
      </c>
      <c r="K226" s="83">
        <v>8850</v>
      </c>
      <c r="L226" s="143">
        <v>189600</v>
      </c>
    </row>
    <row r="227" spans="1:12">
      <c r="A227" s="82">
        <v>182</v>
      </c>
      <c r="B227" s="144">
        <v>590000</v>
      </c>
      <c r="C227" s="83">
        <v>593000</v>
      </c>
      <c r="D227" s="83">
        <v>43740</v>
      </c>
      <c r="E227" s="83">
        <v>37280</v>
      </c>
      <c r="F227" s="83">
        <v>30810</v>
      </c>
      <c r="G227" s="83">
        <v>24340</v>
      </c>
      <c r="H227" s="83">
        <v>18830</v>
      </c>
      <c r="I227" s="83">
        <v>15600</v>
      </c>
      <c r="J227" s="83">
        <v>12360</v>
      </c>
      <c r="K227" s="83">
        <v>9130</v>
      </c>
      <c r="L227" s="143">
        <v>191000</v>
      </c>
    </row>
    <row r="228" spans="1:12">
      <c r="A228" s="82">
        <v>183</v>
      </c>
      <c r="B228" s="144">
        <v>593000</v>
      </c>
      <c r="C228" s="83">
        <v>596000</v>
      </c>
      <c r="D228" s="83">
        <v>44290</v>
      </c>
      <c r="E228" s="83">
        <v>37830</v>
      </c>
      <c r="F228" s="83">
        <v>31370</v>
      </c>
      <c r="G228" s="83">
        <v>24890</v>
      </c>
      <c r="H228" s="83">
        <v>19100</v>
      </c>
      <c r="I228" s="83">
        <v>15880</v>
      </c>
      <c r="J228" s="83">
        <v>12640</v>
      </c>
      <c r="K228" s="83">
        <v>9400</v>
      </c>
      <c r="L228" s="143">
        <v>192600</v>
      </c>
    </row>
    <row r="229" spans="1:12">
      <c r="A229" s="82">
        <v>184</v>
      </c>
      <c r="B229" s="144">
        <v>596000</v>
      </c>
      <c r="C229" s="83">
        <v>599000</v>
      </c>
      <c r="D229" s="83">
        <v>44840</v>
      </c>
      <c r="E229" s="83">
        <v>38380</v>
      </c>
      <c r="F229" s="83">
        <v>31920</v>
      </c>
      <c r="G229" s="83">
        <v>25440</v>
      </c>
      <c r="H229" s="83">
        <v>19380</v>
      </c>
      <c r="I229" s="83">
        <v>16150</v>
      </c>
      <c r="J229" s="83">
        <v>12920</v>
      </c>
      <c r="K229" s="83">
        <v>9680</v>
      </c>
      <c r="L229" s="143">
        <v>194000</v>
      </c>
    </row>
    <row r="230" spans="1:12">
      <c r="A230" s="82">
        <v>185</v>
      </c>
      <c r="B230" s="144">
        <v>599000</v>
      </c>
      <c r="C230" s="83">
        <v>602000</v>
      </c>
      <c r="D230" s="83">
        <v>45390</v>
      </c>
      <c r="E230" s="83">
        <v>38930</v>
      </c>
      <c r="F230" s="83">
        <v>32470</v>
      </c>
      <c r="G230" s="83">
        <v>25990</v>
      </c>
      <c r="H230" s="83">
        <v>19650</v>
      </c>
      <c r="I230" s="83">
        <v>16430</v>
      </c>
      <c r="J230" s="83">
        <v>13190</v>
      </c>
      <c r="K230" s="83">
        <v>9950</v>
      </c>
      <c r="L230" s="143">
        <v>195400</v>
      </c>
    </row>
    <row r="231" spans="1:12">
      <c r="A231" s="82"/>
      <c r="B231" s="144"/>
      <c r="C231" s="83"/>
      <c r="D231" s="83"/>
      <c r="E231" s="83"/>
      <c r="F231" s="83"/>
      <c r="G231" s="83"/>
      <c r="H231" s="83"/>
      <c r="I231" s="83"/>
      <c r="J231" s="83"/>
      <c r="K231" s="83"/>
      <c r="L231" s="143"/>
    </row>
    <row r="232" spans="1:12">
      <c r="A232" s="82">
        <v>186</v>
      </c>
      <c r="B232" s="144">
        <v>602000</v>
      </c>
      <c r="C232" s="83">
        <v>605000</v>
      </c>
      <c r="D232" s="83">
        <v>45950</v>
      </c>
      <c r="E232" s="83">
        <v>39480</v>
      </c>
      <c r="F232" s="83">
        <v>33020</v>
      </c>
      <c r="G232" s="83">
        <v>26550</v>
      </c>
      <c r="H232" s="83">
        <v>20080</v>
      </c>
      <c r="I232" s="83">
        <v>16700</v>
      </c>
      <c r="J232" s="83">
        <v>13470</v>
      </c>
      <c r="K232" s="83">
        <v>10230</v>
      </c>
      <c r="L232" s="143">
        <v>197000</v>
      </c>
    </row>
    <row r="233" spans="1:12">
      <c r="A233" s="82">
        <v>187</v>
      </c>
      <c r="B233" s="144">
        <v>605000</v>
      </c>
      <c r="C233" s="83">
        <v>608000</v>
      </c>
      <c r="D233" s="83">
        <v>46500</v>
      </c>
      <c r="E233" s="83">
        <v>40030</v>
      </c>
      <c r="F233" s="83">
        <v>33570</v>
      </c>
      <c r="G233" s="83">
        <v>27100</v>
      </c>
      <c r="H233" s="83">
        <v>20630</v>
      </c>
      <c r="I233" s="83">
        <v>16980</v>
      </c>
      <c r="J233" s="83">
        <v>13740</v>
      </c>
      <c r="K233" s="83">
        <v>10510</v>
      </c>
      <c r="L233" s="143">
        <v>198400</v>
      </c>
    </row>
    <row r="234" spans="1:12">
      <c r="A234" s="82">
        <v>188</v>
      </c>
      <c r="B234" s="144">
        <v>608000</v>
      </c>
      <c r="C234" s="83">
        <v>611000</v>
      </c>
      <c r="D234" s="83">
        <v>47050</v>
      </c>
      <c r="E234" s="83">
        <v>40580</v>
      </c>
      <c r="F234" s="83">
        <v>34120</v>
      </c>
      <c r="G234" s="83">
        <v>27650</v>
      </c>
      <c r="H234" s="83">
        <v>21190</v>
      </c>
      <c r="I234" s="83">
        <v>17250</v>
      </c>
      <c r="J234" s="83">
        <v>14020</v>
      </c>
      <c r="K234" s="83">
        <v>10780</v>
      </c>
      <c r="L234" s="143">
        <v>199900</v>
      </c>
    </row>
    <row r="235" spans="1:12">
      <c r="A235" s="82">
        <v>189</v>
      </c>
      <c r="B235" s="144">
        <v>611000</v>
      </c>
      <c r="C235" s="83">
        <v>614000</v>
      </c>
      <c r="D235" s="83">
        <v>47600</v>
      </c>
      <c r="E235" s="83">
        <v>41140</v>
      </c>
      <c r="F235" s="83">
        <v>34670</v>
      </c>
      <c r="G235" s="83">
        <v>28200</v>
      </c>
      <c r="H235" s="83">
        <v>21740</v>
      </c>
      <c r="I235" s="83">
        <v>17530</v>
      </c>
      <c r="J235" s="83">
        <v>14290</v>
      </c>
      <c r="K235" s="83">
        <v>11060</v>
      </c>
      <c r="L235" s="143">
        <v>201300</v>
      </c>
    </row>
    <row r="236" spans="1:12">
      <c r="A236" s="82">
        <v>190</v>
      </c>
      <c r="B236" s="144">
        <v>614000</v>
      </c>
      <c r="C236" s="83">
        <v>617000</v>
      </c>
      <c r="D236" s="83">
        <v>48150</v>
      </c>
      <c r="E236" s="83">
        <v>41690</v>
      </c>
      <c r="F236" s="83">
        <v>35220</v>
      </c>
      <c r="G236" s="83">
        <v>28750</v>
      </c>
      <c r="H236" s="83">
        <v>22290</v>
      </c>
      <c r="I236" s="83">
        <v>17810</v>
      </c>
      <c r="J236" s="83">
        <v>14570</v>
      </c>
      <c r="K236" s="83">
        <v>11330</v>
      </c>
      <c r="L236" s="143">
        <v>202800</v>
      </c>
    </row>
    <row r="237" spans="1:12">
      <c r="A237" s="82"/>
      <c r="B237" s="144"/>
      <c r="C237" s="83"/>
      <c r="D237" s="83"/>
      <c r="E237" s="83"/>
      <c r="F237" s="83"/>
      <c r="G237" s="83"/>
      <c r="H237" s="83"/>
      <c r="I237" s="83"/>
      <c r="J237" s="83"/>
      <c r="K237" s="83"/>
      <c r="L237" s="143"/>
    </row>
    <row r="238" spans="1:12">
      <c r="A238" s="82">
        <v>191</v>
      </c>
      <c r="B238" s="144">
        <v>617000</v>
      </c>
      <c r="C238" s="83">
        <v>620000</v>
      </c>
      <c r="D238" s="83">
        <v>48700</v>
      </c>
      <c r="E238" s="83">
        <v>42240</v>
      </c>
      <c r="F238" s="83">
        <v>35780</v>
      </c>
      <c r="G238" s="83">
        <v>29300</v>
      </c>
      <c r="H238" s="83">
        <v>22840</v>
      </c>
      <c r="I238" s="83">
        <v>18080</v>
      </c>
      <c r="J238" s="83">
        <v>14850</v>
      </c>
      <c r="K238" s="83">
        <v>11610</v>
      </c>
      <c r="L238" s="143">
        <v>204300</v>
      </c>
    </row>
    <row r="239" spans="1:12">
      <c r="A239" s="82">
        <v>192</v>
      </c>
      <c r="B239" s="144">
        <v>620000</v>
      </c>
      <c r="C239" s="83">
        <v>623000</v>
      </c>
      <c r="D239" s="83">
        <v>49250</v>
      </c>
      <c r="E239" s="83">
        <v>42790</v>
      </c>
      <c r="F239" s="83">
        <v>36330</v>
      </c>
      <c r="G239" s="83">
        <v>29850</v>
      </c>
      <c r="H239" s="83">
        <v>23390</v>
      </c>
      <c r="I239" s="83">
        <v>18360</v>
      </c>
      <c r="J239" s="83">
        <v>15120</v>
      </c>
      <c r="K239" s="83">
        <v>11880</v>
      </c>
      <c r="L239" s="143">
        <v>205700</v>
      </c>
    </row>
    <row r="240" spans="1:12">
      <c r="A240" s="82">
        <v>193</v>
      </c>
      <c r="B240" s="144">
        <v>623000</v>
      </c>
      <c r="C240" s="83">
        <v>626000</v>
      </c>
      <c r="D240" s="83">
        <v>49800</v>
      </c>
      <c r="E240" s="83">
        <v>43340</v>
      </c>
      <c r="F240" s="83">
        <v>36880</v>
      </c>
      <c r="G240" s="83">
        <v>30410</v>
      </c>
      <c r="H240" s="83">
        <v>23940</v>
      </c>
      <c r="I240" s="83">
        <v>18630</v>
      </c>
      <c r="J240" s="83">
        <v>15400</v>
      </c>
      <c r="K240" s="83">
        <v>12160</v>
      </c>
      <c r="L240" s="143">
        <v>207300</v>
      </c>
    </row>
    <row r="241" spans="1:12">
      <c r="A241" s="82">
        <v>194</v>
      </c>
      <c r="B241" s="144">
        <v>626000</v>
      </c>
      <c r="C241" s="83">
        <v>629000</v>
      </c>
      <c r="D241" s="83">
        <v>50360</v>
      </c>
      <c r="E241" s="83">
        <v>43890</v>
      </c>
      <c r="F241" s="83">
        <v>37430</v>
      </c>
      <c r="G241" s="83">
        <v>30960</v>
      </c>
      <c r="H241" s="83">
        <v>24490</v>
      </c>
      <c r="I241" s="83">
        <v>18910</v>
      </c>
      <c r="J241" s="83">
        <v>15670</v>
      </c>
      <c r="K241" s="83">
        <v>12440</v>
      </c>
      <c r="L241" s="143">
        <v>208700</v>
      </c>
    </row>
    <row r="242" spans="1:12">
      <c r="A242" s="82">
        <v>195</v>
      </c>
      <c r="B242" s="144">
        <v>629000</v>
      </c>
      <c r="C242" s="83">
        <v>632000</v>
      </c>
      <c r="D242" s="83">
        <v>50910</v>
      </c>
      <c r="E242" s="83">
        <v>44440</v>
      </c>
      <c r="F242" s="83">
        <v>37980</v>
      </c>
      <c r="G242" s="83">
        <v>31510</v>
      </c>
      <c r="H242" s="83">
        <v>25050</v>
      </c>
      <c r="I242" s="83">
        <v>19180</v>
      </c>
      <c r="J242" s="83">
        <v>15950</v>
      </c>
      <c r="K242" s="83">
        <v>12710</v>
      </c>
      <c r="L242" s="143">
        <v>210100</v>
      </c>
    </row>
    <row r="243" spans="1:12">
      <c r="A243" s="138"/>
      <c r="B243" s="147"/>
      <c r="C243" s="146"/>
      <c r="D243" s="146"/>
      <c r="E243" s="146"/>
      <c r="F243" s="146"/>
      <c r="G243" s="146"/>
      <c r="H243" s="146"/>
      <c r="I243" s="146"/>
      <c r="J243" s="146"/>
      <c r="K243" s="146"/>
      <c r="L243" s="145"/>
    </row>
    <row r="244" spans="1:12">
      <c r="A244" s="82">
        <v>196</v>
      </c>
      <c r="B244" s="144">
        <v>632000</v>
      </c>
      <c r="C244" s="83">
        <v>635000</v>
      </c>
      <c r="D244" s="83">
        <v>51460</v>
      </c>
      <c r="E244" s="83">
        <v>45000</v>
      </c>
      <c r="F244" s="83">
        <v>38530</v>
      </c>
      <c r="G244" s="83">
        <v>32060</v>
      </c>
      <c r="H244" s="83">
        <v>25600</v>
      </c>
      <c r="I244" s="83">
        <v>19460</v>
      </c>
      <c r="J244" s="83">
        <v>16220</v>
      </c>
      <c r="K244" s="83">
        <v>12990</v>
      </c>
      <c r="L244" s="143">
        <v>211700</v>
      </c>
    </row>
    <row r="245" spans="1:12">
      <c r="A245" s="82">
        <v>197</v>
      </c>
      <c r="B245" s="144">
        <v>635000</v>
      </c>
      <c r="C245" s="83">
        <v>638000</v>
      </c>
      <c r="D245" s="83">
        <v>52010</v>
      </c>
      <c r="E245" s="83">
        <v>45550</v>
      </c>
      <c r="F245" s="83">
        <v>39080</v>
      </c>
      <c r="G245" s="83">
        <v>32610</v>
      </c>
      <c r="H245" s="83">
        <v>26150</v>
      </c>
      <c r="I245" s="83">
        <v>19740</v>
      </c>
      <c r="J245" s="83">
        <v>16500</v>
      </c>
      <c r="K245" s="83">
        <v>13260</v>
      </c>
      <c r="L245" s="143">
        <v>213100</v>
      </c>
    </row>
    <row r="246" spans="1:12">
      <c r="A246" s="82">
        <v>198</v>
      </c>
      <c r="B246" s="144">
        <v>638000</v>
      </c>
      <c r="C246" s="83">
        <v>641000</v>
      </c>
      <c r="D246" s="83">
        <v>52560</v>
      </c>
      <c r="E246" s="83">
        <v>46100</v>
      </c>
      <c r="F246" s="83">
        <v>39640</v>
      </c>
      <c r="G246" s="83">
        <v>33160</v>
      </c>
      <c r="H246" s="83">
        <v>26700</v>
      </c>
      <c r="I246" s="83">
        <v>20240</v>
      </c>
      <c r="J246" s="83">
        <v>16780</v>
      </c>
      <c r="K246" s="83">
        <v>13540</v>
      </c>
      <c r="L246" s="143">
        <v>214600</v>
      </c>
    </row>
    <row r="247" spans="1:12">
      <c r="A247" s="82">
        <v>199</v>
      </c>
      <c r="B247" s="144">
        <v>641000</v>
      </c>
      <c r="C247" s="83">
        <v>644000</v>
      </c>
      <c r="D247" s="83">
        <v>53110</v>
      </c>
      <c r="E247" s="83">
        <v>46650</v>
      </c>
      <c r="F247" s="83">
        <v>40190</v>
      </c>
      <c r="G247" s="83">
        <v>33710</v>
      </c>
      <c r="H247" s="83">
        <v>27250</v>
      </c>
      <c r="I247" s="83">
        <v>20790</v>
      </c>
      <c r="J247" s="83">
        <v>17050</v>
      </c>
      <c r="K247" s="83">
        <v>13810</v>
      </c>
      <c r="L247" s="143">
        <v>215900</v>
      </c>
    </row>
    <row r="248" spans="1:12">
      <c r="A248" s="82">
        <v>200</v>
      </c>
      <c r="B248" s="144">
        <v>644000</v>
      </c>
      <c r="C248" s="83">
        <v>647000</v>
      </c>
      <c r="D248" s="83">
        <v>53660</v>
      </c>
      <c r="E248" s="83">
        <v>47200</v>
      </c>
      <c r="F248" s="83">
        <v>40740</v>
      </c>
      <c r="G248" s="83">
        <v>34260</v>
      </c>
      <c r="H248" s="83">
        <v>27800</v>
      </c>
      <c r="I248" s="83">
        <v>21340</v>
      </c>
      <c r="J248" s="83">
        <v>17330</v>
      </c>
      <c r="K248" s="83">
        <v>14090</v>
      </c>
      <c r="L248" s="143">
        <v>217000</v>
      </c>
    </row>
    <row r="249" spans="1:12">
      <c r="A249" s="82"/>
      <c r="B249" s="144"/>
      <c r="C249" s="83"/>
      <c r="D249" s="83"/>
      <c r="E249" s="83"/>
      <c r="F249" s="83"/>
      <c r="G249" s="83"/>
      <c r="H249" s="83"/>
      <c r="I249" s="83"/>
      <c r="J249" s="83"/>
      <c r="K249" s="83"/>
      <c r="L249" s="143"/>
    </row>
    <row r="250" spans="1:12">
      <c r="A250" s="82">
        <v>201</v>
      </c>
      <c r="B250" s="144">
        <v>647000</v>
      </c>
      <c r="C250" s="83">
        <v>650000</v>
      </c>
      <c r="D250" s="83">
        <v>54220</v>
      </c>
      <c r="E250" s="83">
        <v>47750</v>
      </c>
      <c r="F250" s="83">
        <v>41290</v>
      </c>
      <c r="G250" s="83">
        <v>34820</v>
      </c>
      <c r="H250" s="83">
        <v>28350</v>
      </c>
      <c r="I250" s="83">
        <v>21890</v>
      </c>
      <c r="J250" s="83">
        <v>17600</v>
      </c>
      <c r="K250" s="83">
        <v>14370</v>
      </c>
      <c r="L250" s="143">
        <v>218000</v>
      </c>
    </row>
    <row r="251" spans="1:12">
      <c r="A251" s="82">
        <v>202</v>
      </c>
      <c r="B251" s="144">
        <v>650000</v>
      </c>
      <c r="C251" s="83">
        <v>653000</v>
      </c>
      <c r="D251" s="83">
        <v>54770</v>
      </c>
      <c r="E251" s="83">
        <v>48300</v>
      </c>
      <c r="F251" s="83">
        <v>41840</v>
      </c>
      <c r="G251" s="83">
        <v>35370</v>
      </c>
      <c r="H251" s="83">
        <v>28900</v>
      </c>
      <c r="I251" s="83">
        <v>22440</v>
      </c>
      <c r="J251" s="83">
        <v>17880</v>
      </c>
      <c r="K251" s="83">
        <v>14640</v>
      </c>
      <c r="L251" s="143">
        <v>219000</v>
      </c>
    </row>
    <row r="252" spans="1:12">
      <c r="A252" s="82">
        <v>203</v>
      </c>
      <c r="B252" s="144">
        <v>653000</v>
      </c>
      <c r="C252" s="83">
        <v>656000</v>
      </c>
      <c r="D252" s="83">
        <v>55320</v>
      </c>
      <c r="E252" s="83">
        <v>48850</v>
      </c>
      <c r="F252" s="83">
        <v>42390</v>
      </c>
      <c r="G252" s="83">
        <v>35920</v>
      </c>
      <c r="H252" s="83">
        <v>29460</v>
      </c>
      <c r="I252" s="83">
        <v>22990</v>
      </c>
      <c r="J252" s="83">
        <v>18150</v>
      </c>
      <c r="K252" s="83">
        <v>14920</v>
      </c>
      <c r="L252" s="143">
        <v>220000</v>
      </c>
    </row>
    <row r="253" spans="1:12">
      <c r="A253" s="82">
        <v>204</v>
      </c>
      <c r="B253" s="144">
        <v>656000</v>
      </c>
      <c r="C253" s="83">
        <v>659000</v>
      </c>
      <c r="D253" s="83">
        <v>55870</v>
      </c>
      <c r="E253" s="83">
        <v>49410</v>
      </c>
      <c r="F253" s="83">
        <v>42940</v>
      </c>
      <c r="G253" s="83">
        <v>36470</v>
      </c>
      <c r="H253" s="83">
        <v>30010</v>
      </c>
      <c r="I253" s="83">
        <v>23540</v>
      </c>
      <c r="J253" s="83">
        <v>18430</v>
      </c>
      <c r="K253" s="83">
        <v>15190</v>
      </c>
      <c r="L253" s="143">
        <v>221000</v>
      </c>
    </row>
    <row r="254" spans="1:12">
      <c r="A254" s="82">
        <v>205</v>
      </c>
      <c r="B254" s="144">
        <v>659000</v>
      </c>
      <c r="C254" s="83">
        <v>662000</v>
      </c>
      <c r="D254" s="83">
        <v>56420</v>
      </c>
      <c r="E254" s="83">
        <v>49960</v>
      </c>
      <c r="F254" s="83">
        <v>43490</v>
      </c>
      <c r="G254" s="83">
        <v>37020</v>
      </c>
      <c r="H254" s="83">
        <v>30560</v>
      </c>
      <c r="I254" s="83">
        <v>24100</v>
      </c>
      <c r="J254" s="83">
        <v>18700</v>
      </c>
      <c r="K254" s="83">
        <v>15470</v>
      </c>
      <c r="L254" s="143">
        <v>222100</v>
      </c>
    </row>
    <row r="255" spans="1:12">
      <c r="A255" s="82"/>
      <c r="B255" s="144"/>
      <c r="C255" s="83"/>
      <c r="D255" s="83"/>
      <c r="E255" s="83"/>
      <c r="F255" s="83"/>
      <c r="G255" s="83"/>
      <c r="H255" s="83"/>
      <c r="I255" s="83"/>
      <c r="J255" s="83"/>
      <c r="K255" s="83"/>
      <c r="L255" s="143"/>
    </row>
    <row r="256" spans="1:12">
      <c r="A256" s="82">
        <v>206</v>
      </c>
      <c r="B256" s="144">
        <v>662000</v>
      </c>
      <c r="C256" s="83">
        <v>665000</v>
      </c>
      <c r="D256" s="83">
        <v>56970</v>
      </c>
      <c r="E256" s="83">
        <v>50510</v>
      </c>
      <c r="F256" s="83">
        <v>44050</v>
      </c>
      <c r="G256" s="83">
        <v>37570</v>
      </c>
      <c r="H256" s="83">
        <v>31110</v>
      </c>
      <c r="I256" s="83">
        <v>24650</v>
      </c>
      <c r="J256" s="83">
        <v>18980</v>
      </c>
      <c r="K256" s="83">
        <v>15740</v>
      </c>
      <c r="L256" s="143">
        <v>223100</v>
      </c>
    </row>
    <row r="257" spans="1:12">
      <c r="A257" s="82">
        <v>207</v>
      </c>
      <c r="B257" s="144">
        <v>665000</v>
      </c>
      <c r="C257" s="83">
        <v>668000</v>
      </c>
      <c r="D257" s="83">
        <v>57520</v>
      </c>
      <c r="E257" s="83">
        <v>51060</v>
      </c>
      <c r="F257" s="83">
        <v>44600</v>
      </c>
      <c r="G257" s="83">
        <v>38120</v>
      </c>
      <c r="H257" s="83">
        <v>31660</v>
      </c>
      <c r="I257" s="83">
        <v>25200</v>
      </c>
      <c r="J257" s="83">
        <v>19260</v>
      </c>
      <c r="K257" s="83">
        <v>16020</v>
      </c>
      <c r="L257" s="143">
        <v>224100</v>
      </c>
    </row>
    <row r="258" spans="1:12">
      <c r="A258" s="82">
        <v>208</v>
      </c>
      <c r="B258" s="144">
        <v>668000</v>
      </c>
      <c r="C258" s="83">
        <v>671000</v>
      </c>
      <c r="D258" s="83">
        <v>58070</v>
      </c>
      <c r="E258" s="83">
        <v>51610</v>
      </c>
      <c r="F258" s="83">
        <v>45150</v>
      </c>
      <c r="G258" s="83">
        <v>38680</v>
      </c>
      <c r="H258" s="83">
        <v>32210</v>
      </c>
      <c r="I258" s="83">
        <v>25750</v>
      </c>
      <c r="J258" s="83">
        <v>19530</v>
      </c>
      <c r="K258" s="83">
        <v>16300</v>
      </c>
      <c r="L258" s="143">
        <v>225000</v>
      </c>
    </row>
    <row r="259" spans="1:12">
      <c r="A259" s="82">
        <v>209</v>
      </c>
      <c r="B259" s="144">
        <v>671000</v>
      </c>
      <c r="C259" s="83">
        <v>674000</v>
      </c>
      <c r="D259" s="83">
        <v>58630</v>
      </c>
      <c r="E259" s="83">
        <v>52160</v>
      </c>
      <c r="F259" s="83">
        <v>45700</v>
      </c>
      <c r="G259" s="83">
        <v>39230</v>
      </c>
      <c r="H259" s="83">
        <v>32760</v>
      </c>
      <c r="I259" s="83">
        <v>26300</v>
      </c>
      <c r="J259" s="83">
        <v>19830</v>
      </c>
      <c r="K259" s="83">
        <v>16570</v>
      </c>
      <c r="L259" s="143">
        <v>226000</v>
      </c>
    </row>
    <row r="260" spans="1:12">
      <c r="A260" s="82">
        <v>210</v>
      </c>
      <c r="B260" s="144">
        <v>674000</v>
      </c>
      <c r="C260" s="83">
        <v>677000</v>
      </c>
      <c r="D260" s="83">
        <v>59180</v>
      </c>
      <c r="E260" s="83">
        <v>52710</v>
      </c>
      <c r="F260" s="83">
        <v>46250</v>
      </c>
      <c r="G260" s="83">
        <v>39780</v>
      </c>
      <c r="H260" s="83">
        <v>33320</v>
      </c>
      <c r="I260" s="83">
        <v>26850</v>
      </c>
      <c r="J260" s="83">
        <v>20380</v>
      </c>
      <c r="K260" s="83">
        <v>16850</v>
      </c>
      <c r="L260" s="143">
        <v>227100</v>
      </c>
    </row>
    <row r="261" spans="1:12">
      <c r="A261" s="82"/>
      <c r="B261" s="144"/>
      <c r="C261" s="83"/>
      <c r="D261" s="83"/>
      <c r="E261" s="83"/>
      <c r="F261" s="83"/>
      <c r="G261" s="83"/>
      <c r="H261" s="83"/>
      <c r="I261" s="83"/>
      <c r="J261" s="83"/>
      <c r="K261" s="83"/>
      <c r="L261" s="143"/>
    </row>
    <row r="262" spans="1:12">
      <c r="A262" s="82">
        <v>211</v>
      </c>
      <c r="B262" s="144">
        <v>677000</v>
      </c>
      <c r="C262" s="83">
        <v>680000</v>
      </c>
      <c r="D262" s="83">
        <v>59730</v>
      </c>
      <c r="E262" s="83">
        <v>53270</v>
      </c>
      <c r="F262" s="83">
        <v>46800</v>
      </c>
      <c r="G262" s="83">
        <v>40330</v>
      </c>
      <c r="H262" s="83">
        <v>33870</v>
      </c>
      <c r="I262" s="83">
        <v>27400</v>
      </c>
      <c r="J262" s="83">
        <v>20930</v>
      </c>
      <c r="K262" s="83">
        <v>17120</v>
      </c>
      <c r="L262" s="143">
        <v>228100</v>
      </c>
    </row>
    <row r="263" spans="1:12">
      <c r="A263" s="82">
        <v>212</v>
      </c>
      <c r="B263" s="144">
        <v>680000</v>
      </c>
      <c r="C263" s="83">
        <v>683000</v>
      </c>
      <c r="D263" s="83">
        <v>60280</v>
      </c>
      <c r="E263" s="83">
        <v>53820</v>
      </c>
      <c r="F263" s="83">
        <v>47350</v>
      </c>
      <c r="G263" s="83">
        <v>40880</v>
      </c>
      <c r="H263" s="83">
        <v>34420</v>
      </c>
      <c r="I263" s="83">
        <v>27950</v>
      </c>
      <c r="J263" s="83">
        <v>21480</v>
      </c>
      <c r="K263" s="83">
        <v>17400</v>
      </c>
      <c r="L263" s="143">
        <v>229100</v>
      </c>
    </row>
    <row r="264" spans="1:12">
      <c r="A264" s="82">
        <v>213</v>
      </c>
      <c r="B264" s="144">
        <v>683000</v>
      </c>
      <c r="C264" s="83">
        <v>686000</v>
      </c>
      <c r="D264" s="83">
        <v>60830</v>
      </c>
      <c r="E264" s="83">
        <v>54370</v>
      </c>
      <c r="F264" s="83">
        <v>47910</v>
      </c>
      <c r="G264" s="83">
        <v>41430</v>
      </c>
      <c r="H264" s="83">
        <v>34970</v>
      </c>
      <c r="I264" s="83">
        <v>28510</v>
      </c>
      <c r="J264" s="83">
        <v>22030</v>
      </c>
      <c r="K264" s="83">
        <v>17670</v>
      </c>
      <c r="L264" s="143">
        <v>230100</v>
      </c>
    </row>
    <row r="265" spans="1:12">
      <c r="A265" s="82">
        <v>214</v>
      </c>
      <c r="B265" s="144">
        <v>686000</v>
      </c>
      <c r="C265" s="83">
        <v>689000</v>
      </c>
      <c r="D265" s="83">
        <v>61380</v>
      </c>
      <c r="E265" s="83">
        <v>54920</v>
      </c>
      <c r="F265" s="83">
        <v>48460</v>
      </c>
      <c r="G265" s="83">
        <v>41980</v>
      </c>
      <c r="H265" s="83">
        <v>35520</v>
      </c>
      <c r="I265" s="83">
        <v>29060</v>
      </c>
      <c r="J265" s="83">
        <v>22580</v>
      </c>
      <c r="K265" s="83">
        <v>17950</v>
      </c>
      <c r="L265" s="143">
        <v>231500</v>
      </c>
    </row>
    <row r="266" spans="1:12">
      <c r="A266" s="82">
        <v>215</v>
      </c>
      <c r="B266" s="144">
        <v>689000</v>
      </c>
      <c r="C266" s="83">
        <v>692000</v>
      </c>
      <c r="D266" s="83">
        <v>61930</v>
      </c>
      <c r="E266" s="83">
        <v>55470</v>
      </c>
      <c r="F266" s="83">
        <v>49010</v>
      </c>
      <c r="G266" s="83">
        <v>42530</v>
      </c>
      <c r="H266" s="83">
        <v>36070</v>
      </c>
      <c r="I266" s="83">
        <v>29610</v>
      </c>
      <c r="J266" s="83">
        <v>23140</v>
      </c>
      <c r="K266" s="83">
        <v>18220</v>
      </c>
      <c r="L266" s="143">
        <v>233000</v>
      </c>
    </row>
    <row r="267" spans="1:12">
      <c r="A267" s="82"/>
      <c r="B267" s="144"/>
      <c r="C267" s="83"/>
      <c r="D267" s="83"/>
      <c r="E267" s="83"/>
      <c r="F267" s="83"/>
      <c r="G267" s="83"/>
      <c r="H267" s="83"/>
      <c r="I267" s="83"/>
      <c r="J267" s="83"/>
      <c r="K267" s="83"/>
      <c r="L267" s="143"/>
    </row>
    <row r="268" spans="1:12">
      <c r="A268" s="82">
        <v>216</v>
      </c>
      <c r="B268" s="144">
        <v>692000</v>
      </c>
      <c r="C268" s="83">
        <v>695000</v>
      </c>
      <c r="D268" s="83">
        <v>62490</v>
      </c>
      <c r="E268" s="83">
        <v>56020</v>
      </c>
      <c r="F268" s="83">
        <v>49560</v>
      </c>
      <c r="G268" s="83">
        <v>43090</v>
      </c>
      <c r="H268" s="83">
        <v>36620</v>
      </c>
      <c r="I268" s="83">
        <v>30160</v>
      </c>
      <c r="J268" s="83">
        <v>23690</v>
      </c>
      <c r="K268" s="83">
        <v>18500</v>
      </c>
      <c r="L268" s="143">
        <v>234500</v>
      </c>
    </row>
    <row r="269" spans="1:12">
      <c r="A269" s="82">
        <v>217</v>
      </c>
      <c r="B269" s="144">
        <v>695000</v>
      </c>
      <c r="C269" s="83">
        <v>698000</v>
      </c>
      <c r="D269" s="83">
        <v>63040</v>
      </c>
      <c r="E269" s="83">
        <v>56570</v>
      </c>
      <c r="F269" s="83">
        <v>50110</v>
      </c>
      <c r="G269" s="83">
        <v>43640</v>
      </c>
      <c r="H269" s="83">
        <v>37170</v>
      </c>
      <c r="I269" s="83">
        <v>30710</v>
      </c>
      <c r="J269" s="83">
        <v>24240</v>
      </c>
      <c r="K269" s="83">
        <v>18780</v>
      </c>
      <c r="L269" s="143">
        <v>236100</v>
      </c>
    </row>
    <row r="270" spans="1:12">
      <c r="A270" s="82">
        <v>218</v>
      </c>
      <c r="B270" s="144">
        <v>698000</v>
      </c>
      <c r="C270" s="83">
        <v>701000</v>
      </c>
      <c r="D270" s="83">
        <v>63590</v>
      </c>
      <c r="E270" s="83">
        <v>57120</v>
      </c>
      <c r="F270" s="83">
        <v>50660</v>
      </c>
      <c r="G270" s="83">
        <v>44190</v>
      </c>
      <c r="H270" s="83">
        <v>37730</v>
      </c>
      <c r="I270" s="83">
        <v>31260</v>
      </c>
      <c r="J270" s="83">
        <v>24790</v>
      </c>
      <c r="K270" s="83">
        <v>19050</v>
      </c>
      <c r="L270" s="143">
        <v>237600</v>
      </c>
    </row>
    <row r="271" spans="1:12">
      <c r="A271" s="82">
        <v>219</v>
      </c>
      <c r="B271" s="144">
        <v>701000</v>
      </c>
      <c r="C271" s="83">
        <v>704000</v>
      </c>
      <c r="D271" s="83">
        <v>64140</v>
      </c>
      <c r="E271" s="83">
        <v>57680</v>
      </c>
      <c r="F271" s="83">
        <v>51210</v>
      </c>
      <c r="G271" s="83">
        <v>44740</v>
      </c>
      <c r="H271" s="83">
        <v>38280</v>
      </c>
      <c r="I271" s="83">
        <v>31810</v>
      </c>
      <c r="J271" s="83">
        <v>25340</v>
      </c>
      <c r="K271" s="83">
        <v>19330</v>
      </c>
      <c r="L271" s="143">
        <v>239100</v>
      </c>
    </row>
    <row r="272" spans="1:12">
      <c r="A272" s="82">
        <v>220</v>
      </c>
      <c r="B272" s="144">
        <v>704000</v>
      </c>
      <c r="C272" s="83">
        <v>707000</v>
      </c>
      <c r="D272" s="83">
        <v>64690</v>
      </c>
      <c r="E272" s="83">
        <v>58230</v>
      </c>
      <c r="F272" s="83">
        <v>51760</v>
      </c>
      <c r="G272" s="83">
        <v>45290</v>
      </c>
      <c r="H272" s="83">
        <v>38830</v>
      </c>
      <c r="I272" s="83">
        <v>32370</v>
      </c>
      <c r="J272" s="83">
        <v>25890</v>
      </c>
      <c r="K272" s="83">
        <v>19600</v>
      </c>
      <c r="L272" s="143">
        <v>240800</v>
      </c>
    </row>
    <row r="273" spans="1:12">
      <c r="A273" s="82"/>
      <c r="B273" s="144"/>
      <c r="C273" s="83"/>
      <c r="D273" s="83"/>
      <c r="E273" s="83"/>
      <c r="F273" s="83"/>
      <c r="G273" s="83"/>
      <c r="H273" s="83"/>
      <c r="I273" s="83"/>
      <c r="J273" s="83"/>
      <c r="K273" s="83"/>
      <c r="L273" s="143"/>
    </row>
    <row r="274" spans="1:12">
      <c r="A274" s="82">
        <v>221</v>
      </c>
      <c r="B274" s="144">
        <v>707000</v>
      </c>
      <c r="C274" s="83">
        <v>710000</v>
      </c>
      <c r="D274" s="83">
        <v>65250</v>
      </c>
      <c r="E274" s="83">
        <v>58780</v>
      </c>
      <c r="F274" s="83">
        <v>52320</v>
      </c>
      <c r="G274" s="83">
        <v>45850</v>
      </c>
      <c r="H274" s="83">
        <v>39380</v>
      </c>
      <c r="I274" s="83">
        <v>32920</v>
      </c>
      <c r="J274" s="83">
        <v>26450</v>
      </c>
      <c r="K274" s="83">
        <v>19980</v>
      </c>
      <c r="L274" s="143">
        <v>242300</v>
      </c>
    </row>
    <row r="275" spans="1:12">
      <c r="A275" s="82">
        <v>222</v>
      </c>
      <c r="B275" s="144">
        <v>710000</v>
      </c>
      <c r="C275" s="83">
        <v>713000</v>
      </c>
      <c r="D275" s="83">
        <v>65860</v>
      </c>
      <c r="E275" s="83">
        <v>59390</v>
      </c>
      <c r="F275" s="83">
        <v>52930</v>
      </c>
      <c r="G275" s="83">
        <v>46470</v>
      </c>
      <c r="H275" s="83">
        <v>39990</v>
      </c>
      <c r="I275" s="83">
        <v>33530</v>
      </c>
      <c r="J275" s="83">
        <v>27070</v>
      </c>
      <c r="K275" s="83">
        <v>20590</v>
      </c>
      <c r="L275" s="143">
        <v>243800</v>
      </c>
    </row>
    <row r="276" spans="1:12">
      <c r="A276" s="82">
        <v>223</v>
      </c>
      <c r="B276" s="144">
        <v>713000</v>
      </c>
      <c r="C276" s="83">
        <v>716000</v>
      </c>
      <c r="D276" s="83">
        <v>66480</v>
      </c>
      <c r="E276" s="83">
        <v>60000</v>
      </c>
      <c r="F276" s="83">
        <v>53540</v>
      </c>
      <c r="G276" s="83">
        <v>47080</v>
      </c>
      <c r="H276" s="83">
        <v>40610</v>
      </c>
      <c r="I276" s="83">
        <v>34140</v>
      </c>
      <c r="J276" s="83">
        <v>27680</v>
      </c>
      <c r="K276" s="83">
        <v>21210</v>
      </c>
      <c r="L276" s="143">
        <v>245300</v>
      </c>
    </row>
    <row r="277" spans="1:12">
      <c r="A277" s="82">
        <v>224</v>
      </c>
      <c r="B277" s="144">
        <v>716000</v>
      </c>
      <c r="C277" s="83">
        <v>719000</v>
      </c>
      <c r="D277" s="83">
        <v>67090</v>
      </c>
      <c r="E277" s="83">
        <v>60620</v>
      </c>
      <c r="F277" s="83">
        <v>54150</v>
      </c>
      <c r="G277" s="83">
        <v>47690</v>
      </c>
      <c r="H277" s="83">
        <v>41220</v>
      </c>
      <c r="I277" s="83">
        <v>34750</v>
      </c>
      <c r="J277" s="83">
        <v>28290</v>
      </c>
      <c r="K277" s="83">
        <v>21820</v>
      </c>
      <c r="L277" s="143">
        <v>246900</v>
      </c>
    </row>
    <row r="278" spans="1:12">
      <c r="A278" s="82">
        <v>225</v>
      </c>
      <c r="B278" s="144">
        <v>719000</v>
      </c>
      <c r="C278" s="83">
        <v>722000</v>
      </c>
      <c r="D278" s="83">
        <v>67700</v>
      </c>
      <c r="E278" s="83">
        <v>61230</v>
      </c>
      <c r="F278" s="83">
        <v>54770</v>
      </c>
      <c r="G278" s="83">
        <v>48300</v>
      </c>
      <c r="H278" s="83">
        <v>41830</v>
      </c>
      <c r="I278" s="83">
        <v>35370</v>
      </c>
      <c r="J278" s="83">
        <v>28900</v>
      </c>
      <c r="K278" s="83">
        <v>22430</v>
      </c>
      <c r="L278" s="143">
        <v>248400</v>
      </c>
    </row>
    <row r="279" spans="1:12">
      <c r="A279" s="82"/>
      <c r="B279" s="144"/>
      <c r="C279" s="83"/>
      <c r="D279" s="83"/>
      <c r="E279" s="83"/>
      <c r="F279" s="83"/>
      <c r="G279" s="83"/>
      <c r="H279" s="83"/>
      <c r="I279" s="83"/>
      <c r="J279" s="83"/>
      <c r="K279" s="83"/>
      <c r="L279" s="143"/>
    </row>
    <row r="280" spans="1:12">
      <c r="A280" s="82">
        <v>226</v>
      </c>
      <c r="B280" s="144">
        <v>722000</v>
      </c>
      <c r="C280" s="83">
        <v>725000</v>
      </c>
      <c r="D280" s="83">
        <v>68320</v>
      </c>
      <c r="E280" s="83">
        <v>61840</v>
      </c>
      <c r="F280" s="83">
        <v>55380</v>
      </c>
      <c r="G280" s="83">
        <v>48920</v>
      </c>
      <c r="H280" s="83">
        <v>42440</v>
      </c>
      <c r="I280" s="83">
        <v>35980</v>
      </c>
      <c r="J280" s="83">
        <v>29520</v>
      </c>
      <c r="K280" s="83">
        <v>23040</v>
      </c>
      <c r="L280" s="143">
        <v>250000</v>
      </c>
    </row>
    <row r="281" spans="1:12">
      <c r="A281" s="82">
        <v>227</v>
      </c>
      <c r="B281" s="144">
        <v>725000</v>
      </c>
      <c r="C281" s="83">
        <v>728000</v>
      </c>
      <c r="D281" s="83">
        <v>68930</v>
      </c>
      <c r="E281" s="83">
        <v>62450</v>
      </c>
      <c r="F281" s="83">
        <v>55990</v>
      </c>
      <c r="G281" s="83">
        <v>49530</v>
      </c>
      <c r="H281" s="83">
        <v>43060</v>
      </c>
      <c r="I281" s="83">
        <v>36590</v>
      </c>
      <c r="J281" s="83">
        <v>30130</v>
      </c>
      <c r="K281" s="83">
        <v>23660</v>
      </c>
      <c r="L281" s="143">
        <v>251600</v>
      </c>
    </row>
    <row r="282" spans="1:12">
      <c r="A282" s="82">
        <v>228</v>
      </c>
      <c r="B282" s="144">
        <v>728000</v>
      </c>
      <c r="C282" s="83">
        <v>731000</v>
      </c>
      <c r="D282" s="83">
        <v>69540</v>
      </c>
      <c r="E282" s="83">
        <v>63070</v>
      </c>
      <c r="F282" s="83">
        <v>56600</v>
      </c>
      <c r="G282" s="83">
        <v>50140</v>
      </c>
      <c r="H282" s="83">
        <v>43670</v>
      </c>
      <c r="I282" s="83">
        <v>37210</v>
      </c>
      <c r="J282" s="83">
        <v>30740</v>
      </c>
      <c r="K282" s="83">
        <v>24270</v>
      </c>
      <c r="L282" s="143">
        <v>253100</v>
      </c>
    </row>
    <row r="283" spans="1:12">
      <c r="A283" s="82">
        <v>229</v>
      </c>
      <c r="B283" s="144">
        <v>731000</v>
      </c>
      <c r="C283" s="83">
        <v>734000</v>
      </c>
      <c r="D283" s="83">
        <v>70150</v>
      </c>
      <c r="E283" s="83">
        <v>63680</v>
      </c>
      <c r="F283" s="83">
        <v>57220</v>
      </c>
      <c r="G283" s="83">
        <v>50750</v>
      </c>
      <c r="H283" s="83">
        <v>44280</v>
      </c>
      <c r="I283" s="83">
        <v>37820</v>
      </c>
      <c r="J283" s="83">
        <v>31350</v>
      </c>
      <c r="K283" s="83">
        <v>24880</v>
      </c>
      <c r="L283" s="143">
        <v>254600</v>
      </c>
    </row>
    <row r="284" spans="1:12">
      <c r="A284" s="82">
        <v>230</v>
      </c>
      <c r="B284" s="144">
        <v>734000</v>
      </c>
      <c r="C284" s="83">
        <v>737000</v>
      </c>
      <c r="D284" s="83">
        <v>70770</v>
      </c>
      <c r="E284" s="83">
        <v>64290</v>
      </c>
      <c r="F284" s="83">
        <v>57830</v>
      </c>
      <c r="G284" s="83">
        <v>51370</v>
      </c>
      <c r="H284" s="83">
        <v>44890</v>
      </c>
      <c r="I284" s="83">
        <v>38430</v>
      </c>
      <c r="J284" s="83">
        <v>31970</v>
      </c>
      <c r="K284" s="83">
        <v>25490</v>
      </c>
      <c r="L284" s="143">
        <v>256200</v>
      </c>
    </row>
    <row r="285" spans="1:12">
      <c r="A285" s="82"/>
      <c r="B285" s="144"/>
      <c r="C285" s="83"/>
      <c r="D285" s="83"/>
      <c r="E285" s="83"/>
      <c r="F285" s="83"/>
      <c r="G285" s="83"/>
      <c r="H285" s="83"/>
      <c r="I285" s="83"/>
      <c r="J285" s="83"/>
      <c r="K285" s="83"/>
      <c r="L285" s="143"/>
    </row>
    <row r="286" spans="1:12">
      <c r="A286" s="82">
        <v>231</v>
      </c>
      <c r="B286" s="144">
        <v>737000</v>
      </c>
      <c r="C286" s="83">
        <v>740000</v>
      </c>
      <c r="D286" s="83">
        <v>71380</v>
      </c>
      <c r="E286" s="83">
        <v>64900</v>
      </c>
      <c r="F286" s="83">
        <v>58440</v>
      </c>
      <c r="G286" s="83">
        <v>51980</v>
      </c>
      <c r="H286" s="83">
        <v>45510</v>
      </c>
      <c r="I286" s="83">
        <v>39040</v>
      </c>
      <c r="J286" s="83">
        <v>32580</v>
      </c>
      <c r="K286" s="83">
        <v>26110</v>
      </c>
      <c r="L286" s="143">
        <v>257700</v>
      </c>
    </row>
    <row r="287" spans="1:12">
      <c r="A287" s="82"/>
      <c r="B287" s="84"/>
      <c r="C287" s="85"/>
      <c r="D287" s="85"/>
      <c r="E287" s="85"/>
      <c r="F287" s="85"/>
      <c r="G287" s="85"/>
      <c r="H287" s="85"/>
      <c r="I287" s="85"/>
      <c r="J287" s="85"/>
      <c r="K287" s="85"/>
      <c r="L287" s="86"/>
    </row>
    <row r="288" spans="1:12" ht="13" customHeight="1">
      <c r="A288" s="82"/>
      <c r="B288" s="87"/>
      <c r="C288" s="88"/>
      <c r="D288" s="89"/>
      <c r="E288" s="89"/>
      <c r="F288" s="89"/>
      <c r="G288" s="89"/>
      <c r="H288" s="89"/>
      <c r="I288" s="89"/>
      <c r="J288" s="89"/>
      <c r="K288" s="89"/>
      <c r="L288" s="90"/>
    </row>
    <row r="289" spans="1:12" ht="13" customHeight="1">
      <c r="A289" s="82"/>
      <c r="B289" s="117" t="s">
        <v>153</v>
      </c>
      <c r="C289" s="88"/>
      <c r="D289" s="142">
        <v>71680</v>
      </c>
      <c r="E289" s="142">
        <v>65210</v>
      </c>
      <c r="F289" s="142">
        <v>58750</v>
      </c>
      <c r="G289" s="142">
        <v>52290</v>
      </c>
      <c r="H289" s="142">
        <v>45810</v>
      </c>
      <c r="I289" s="142">
        <v>39350</v>
      </c>
      <c r="J289" s="142">
        <v>32890</v>
      </c>
      <c r="K289" s="142">
        <v>26410</v>
      </c>
      <c r="L289" s="86">
        <v>259200</v>
      </c>
    </row>
    <row r="290" spans="1:12" ht="13" customHeight="1">
      <c r="A290" s="82"/>
      <c r="B290" s="141"/>
      <c r="C290" s="109"/>
      <c r="D290" s="140"/>
      <c r="E290" s="140"/>
      <c r="F290" s="140"/>
      <c r="G290" s="140"/>
      <c r="H290" s="140"/>
      <c r="I290" s="140"/>
      <c r="J290" s="140"/>
      <c r="K290" s="140"/>
      <c r="L290" s="139"/>
    </row>
    <row r="291" spans="1:12" ht="13" customHeight="1">
      <c r="A291" s="82"/>
      <c r="B291" s="87"/>
      <c r="C291" s="88"/>
      <c r="D291" s="95"/>
      <c r="E291" s="96"/>
      <c r="F291" s="96"/>
      <c r="G291" s="96"/>
      <c r="H291" s="96"/>
      <c r="I291" s="96"/>
      <c r="J291" s="96"/>
      <c r="K291" s="97"/>
      <c r="L291" s="343" t="s">
        <v>152</v>
      </c>
    </row>
    <row r="292" spans="1:12" ht="13" customHeight="1">
      <c r="A292" s="138"/>
      <c r="B292" s="137"/>
      <c r="C292" s="99"/>
      <c r="D292" s="100"/>
      <c r="E292" s="101"/>
      <c r="F292" s="101"/>
      <c r="G292" s="101"/>
      <c r="H292" s="101"/>
      <c r="I292" s="101"/>
      <c r="J292" s="101"/>
      <c r="K292" s="88"/>
      <c r="L292" s="343"/>
    </row>
    <row r="293" spans="1:12" ht="13" customHeight="1">
      <c r="A293" s="138"/>
      <c r="B293" s="98" t="s">
        <v>69</v>
      </c>
      <c r="C293" s="88"/>
      <c r="E293" s="103"/>
      <c r="F293" s="103"/>
      <c r="G293" s="103"/>
      <c r="H293" s="103"/>
      <c r="I293" s="103"/>
      <c r="J293" s="103"/>
      <c r="K293" s="99"/>
      <c r="L293" s="343"/>
    </row>
    <row r="294" spans="1:12" ht="13" customHeight="1">
      <c r="A294" s="138"/>
      <c r="B294" s="137"/>
      <c r="C294" s="99"/>
      <c r="D294" s="102" t="s">
        <v>70</v>
      </c>
      <c r="E294" s="101"/>
      <c r="F294" s="101"/>
      <c r="G294" s="101"/>
      <c r="H294" s="101"/>
      <c r="I294" s="101"/>
      <c r="J294" s="101"/>
      <c r="K294" s="88"/>
      <c r="L294" s="343"/>
    </row>
    <row r="295" spans="1:12" ht="13" customHeight="1">
      <c r="A295" s="82"/>
      <c r="B295" s="104"/>
      <c r="C295" s="105"/>
      <c r="E295" s="103"/>
      <c r="F295" s="103"/>
      <c r="G295" s="103"/>
      <c r="H295" s="103"/>
      <c r="I295" s="103"/>
      <c r="J295" s="103"/>
      <c r="K295" s="99"/>
      <c r="L295" s="343"/>
    </row>
    <row r="296" spans="1:12" ht="13" customHeight="1">
      <c r="A296" s="82"/>
      <c r="B296" s="98" t="s">
        <v>151</v>
      </c>
      <c r="C296" s="99"/>
      <c r="D296" s="100"/>
      <c r="E296" s="101"/>
      <c r="F296" s="101"/>
      <c r="G296" s="101"/>
      <c r="H296" s="101"/>
      <c r="I296" s="101"/>
      <c r="J296" s="101"/>
      <c r="K296" s="88"/>
      <c r="L296" s="343"/>
    </row>
    <row r="297" spans="1:12" ht="13" customHeight="1">
      <c r="A297" s="82"/>
      <c r="B297" s="98"/>
      <c r="C297" s="99"/>
      <c r="D297" s="102" t="s">
        <v>71</v>
      </c>
      <c r="E297" s="101"/>
      <c r="F297" s="101"/>
      <c r="G297" s="101"/>
      <c r="H297" s="101"/>
      <c r="I297" s="101"/>
      <c r="J297" s="101"/>
      <c r="K297" s="88"/>
      <c r="L297" s="343"/>
    </row>
    <row r="298" spans="1:12" ht="13" customHeight="1">
      <c r="A298" s="82"/>
      <c r="B298" s="98" t="s">
        <v>72</v>
      </c>
      <c r="C298" s="99"/>
      <c r="D298" s="100"/>
      <c r="E298" s="101"/>
      <c r="F298" s="101"/>
      <c r="G298" s="101"/>
      <c r="H298" s="101"/>
      <c r="I298" s="101"/>
      <c r="J298" s="101"/>
      <c r="K298" s="88"/>
      <c r="L298" s="343"/>
    </row>
    <row r="299" spans="1:12" ht="13" customHeight="1">
      <c r="A299" s="82"/>
      <c r="B299" s="98"/>
      <c r="C299" s="99"/>
      <c r="D299" s="100"/>
      <c r="E299" s="101"/>
      <c r="F299" s="101"/>
      <c r="G299" s="101"/>
      <c r="H299" s="101"/>
      <c r="I299" s="101"/>
      <c r="J299" s="101"/>
      <c r="K299" s="88"/>
      <c r="L299" s="343"/>
    </row>
    <row r="300" spans="1:12" ht="13" customHeight="1">
      <c r="A300" s="82"/>
      <c r="B300" s="106"/>
      <c r="C300" s="107"/>
      <c r="D300" s="108"/>
      <c r="E300" s="109"/>
      <c r="F300" s="109"/>
      <c r="G300" s="109"/>
      <c r="H300" s="109"/>
      <c r="I300" s="109"/>
      <c r="J300" s="109"/>
      <c r="K300" s="92"/>
      <c r="L300" s="344"/>
    </row>
    <row r="301" spans="1:12" ht="13" customHeight="1">
      <c r="A301" s="82"/>
      <c r="B301" s="87" t="s">
        <v>73</v>
      </c>
      <c r="C301" s="88"/>
      <c r="D301" s="89"/>
      <c r="E301" s="89"/>
      <c r="F301" s="89"/>
      <c r="G301" s="89"/>
      <c r="H301" s="89"/>
      <c r="I301" s="89"/>
      <c r="J301" s="89"/>
      <c r="K301" s="89"/>
      <c r="L301" s="352" t="s">
        <v>150</v>
      </c>
    </row>
    <row r="302" spans="1:12" ht="13" customHeight="1">
      <c r="A302" s="82"/>
      <c r="B302" s="91" t="s">
        <v>149</v>
      </c>
      <c r="C302" s="92"/>
      <c r="D302" s="93">
        <v>81890</v>
      </c>
      <c r="E302" s="93">
        <v>75420</v>
      </c>
      <c r="F302" s="93">
        <v>68960</v>
      </c>
      <c r="G302" s="93">
        <v>62500</v>
      </c>
      <c r="H302" s="93">
        <v>56020</v>
      </c>
      <c r="I302" s="93">
        <v>49560</v>
      </c>
      <c r="J302" s="93">
        <v>43100</v>
      </c>
      <c r="K302" s="93">
        <v>36620</v>
      </c>
      <c r="L302" s="352"/>
    </row>
    <row r="303" spans="1:12" ht="13" customHeight="1">
      <c r="A303" s="82"/>
      <c r="B303" s="87"/>
      <c r="C303" s="88"/>
      <c r="D303" s="95"/>
      <c r="E303" s="96"/>
      <c r="F303" s="96"/>
      <c r="G303" s="96"/>
      <c r="H303" s="96"/>
      <c r="I303" s="96"/>
      <c r="J303" s="96"/>
      <c r="K303" s="97"/>
      <c r="L303" s="352"/>
    </row>
    <row r="304" spans="1:12" ht="13" customHeight="1">
      <c r="A304" s="82"/>
      <c r="B304" s="98" t="s">
        <v>148</v>
      </c>
      <c r="C304" s="99"/>
      <c r="D304" s="100"/>
      <c r="E304" s="101"/>
      <c r="F304" s="101"/>
      <c r="G304" s="101"/>
      <c r="H304" s="101"/>
      <c r="I304" s="101"/>
      <c r="J304" s="101"/>
      <c r="K304" s="88"/>
      <c r="L304" s="352"/>
    </row>
    <row r="305" spans="1:12" ht="13" customHeight="1">
      <c r="A305" s="82"/>
      <c r="B305" s="87"/>
      <c r="C305" s="88"/>
      <c r="D305" s="102" t="s">
        <v>147</v>
      </c>
      <c r="E305" s="103"/>
      <c r="F305" s="103"/>
      <c r="G305" s="103"/>
      <c r="H305" s="103"/>
      <c r="I305" s="103"/>
      <c r="J305" s="103"/>
      <c r="K305" s="99"/>
      <c r="L305" s="352"/>
    </row>
    <row r="306" spans="1:12" ht="13" customHeight="1">
      <c r="A306" s="82"/>
      <c r="B306" s="98" t="s">
        <v>146</v>
      </c>
      <c r="C306" s="99"/>
      <c r="D306" s="100"/>
      <c r="E306" s="101"/>
      <c r="F306" s="101"/>
      <c r="G306" s="101"/>
      <c r="H306" s="101"/>
      <c r="I306" s="101"/>
      <c r="J306" s="101"/>
      <c r="K306" s="88"/>
      <c r="L306" s="352"/>
    </row>
    <row r="307" spans="1:12" ht="13" customHeight="1">
      <c r="A307" s="82"/>
      <c r="B307" s="104"/>
      <c r="C307" s="105"/>
      <c r="D307" s="102" t="s">
        <v>145</v>
      </c>
      <c r="E307" s="103"/>
      <c r="F307" s="103"/>
      <c r="G307" s="103"/>
      <c r="H307" s="103"/>
      <c r="I307" s="103"/>
      <c r="J307" s="103"/>
      <c r="K307" s="99"/>
      <c r="L307" s="352"/>
    </row>
    <row r="308" spans="1:12" ht="13" customHeight="1">
      <c r="A308" s="82"/>
      <c r="B308" s="98" t="s">
        <v>72</v>
      </c>
      <c r="C308" s="99"/>
      <c r="D308" s="100"/>
      <c r="E308" s="101"/>
      <c r="F308" s="101"/>
      <c r="G308" s="101"/>
      <c r="H308" s="101"/>
      <c r="I308" s="101"/>
      <c r="J308" s="101"/>
      <c r="K308" s="88"/>
      <c r="L308" s="352"/>
    </row>
    <row r="309" spans="1:12" ht="13" customHeight="1">
      <c r="A309" s="82"/>
      <c r="B309" s="106"/>
      <c r="C309" s="107"/>
      <c r="D309" s="108"/>
      <c r="E309" s="109"/>
      <c r="F309" s="109"/>
      <c r="G309" s="109"/>
      <c r="H309" s="109"/>
      <c r="I309" s="109"/>
      <c r="J309" s="109"/>
      <c r="K309" s="92"/>
      <c r="L309" s="352"/>
    </row>
    <row r="310" spans="1:12" ht="13" customHeight="1">
      <c r="A310" s="82"/>
      <c r="B310" s="110" t="s">
        <v>73</v>
      </c>
      <c r="C310" s="111"/>
      <c r="D310" s="112" t="s">
        <v>13</v>
      </c>
      <c r="E310" s="112" t="s">
        <v>13</v>
      </c>
      <c r="F310" s="112" t="s">
        <v>13</v>
      </c>
      <c r="G310" s="112" t="s">
        <v>13</v>
      </c>
      <c r="H310" s="112" t="s">
        <v>13</v>
      </c>
      <c r="I310" s="112" t="s">
        <v>13</v>
      </c>
      <c r="J310" s="112" t="s">
        <v>13</v>
      </c>
      <c r="K310" s="112" t="s">
        <v>13</v>
      </c>
      <c r="L310" s="352"/>
    </row>
    <row r="311" spans="1:12" ht="13" customHeight="1">
      <c r="A311" s="82"/>
      <c r="B311" s="91" t="s">
        <v>144</v>
      </c>
      <c r="C311" s="92"/>
      <c r="D311" s="93">
        <v>121820</v>
      </c>
      <c r="E311" s="93">
        <v>115340</v>
      </c>
      <c r="F311" s="93">
        <v>108880</v>
      </c>
      <c r="G311" s="93">
        <v>102420</v>
      </c>
      <c r="H311" s="93">
        <v>95940</v>
      </c>
      <c r="I311" s="93">
        <v>89480</v>
      </c>
      <c r="J311" s="93">
        <v>83020</v>
      </c>
      <c r="K311" s="93">
        <v>76540</v>
      </c>
      <c r="L311" s="352"/>
    </row>
    <row r="312" spans="1:12" ht="13" customHeight="1">
      <c r="A312" s="82"/>
      <c r="B312" s="87"/>
      <c r="C312" s="88"/>
      <c r="D312" s="95"/>
      <c r="E312" s="96"/>
      <c r="F312" s="96"/>
      <c r="G312" s="96"/>
      <c r="H312" s="96"/>
      <c r="I312" s="96"/>
      <c r="J312" s="96"/>
      <c r="K312" s="97"/>
      <c r="L312" s="352"/>
    </row>
    <row r="313" spans="1:12" ht="13" customHeight="1">
      <c r="A313" s="82"/>
      <c r="B313" s="98" t="s">
        <v>143</v>
      </c>
      <c r="C313" s="99"/>
      <c r="D313" s="100"/>
      <c r="E313" s="101"/>
      <c r="F313" s="101"/>
      <c r="G313" s="101"/>
      <c r="H313" s="101"/>
      <c r="I313" s="101"/>
      <c r="J313" s="101"/>
      <c r="K313" s="88"/>
      <c r="L313" s="352"/>
    </row>
    <row r="314" spans="1:12" ht="13" customHeight="1">
      <c r="A314" s="82"/>
      <c r="B314" s="87"/>
      <c r="C314" s="88"/>
      <c r="D314" s="102" t="s">
        <v>142</v>
      </c>
      <c r="E314" s="103"/>
      <c r="F314" s="103"/>
      <c r="G314" s="103"/>
      <c r="H314" s="103"/>
      <c r="I314" s="103"/>
      <c r="J314" s="103"/>
      <c r="K314" s="99"/>
      <c r="L314" s="352"/>
    </row>
    <row r="315" spans="1:12" ht="13" customHeight="1">
      <c r="A315" s="82"/>
      <c r="B315" s="98" t="s">
        <v>141</v>
      </c>
      <c r="C315" s="99"/>
      <c r="D315" s="100"/>
      <c r="E315" s="101"/>
      <c r="F315" s="101"/>
      <c r="G315" s="101"/>
      <c r="H315" s="101"/>
      <c r="I315" s="101"/>
      <c r="J315" s="101"/>
      <c r="K315" s="88"/>
      <c r="L315" s="352"/>
    </row>
    <row r="316" spans="1:12" ht="13" customHeight="1">
      <c r="A316" s="82"/>
      <c r="B316" s="104"/>
      <c r="C316" s="105"/>
      <c r="D316" s="102" t="s">
        <v>140</v>
      </c>
      <c r="E316" s="103"/>
      <c r="F316" s="103"/>
      <c r="G316" s="103"/>
      <c r="H316" s="103"/>
      <c r="I316" s="103"/>
      <c r="J316" s="103"/>
      <c r="K316" s="99"/>
      <c r="L316" s="352"/>
    </row>
    <row r="317" spans="1:12" ht="13" customHeight="1">
      <c r="A317" s="82"/>
      <c r="B317" s="98" t="s">
        <v>72</v>
      </c>
      <c r="C317" s="99"/>
      <c r="D317" s="100"/>
      <c r="E317" s="101"/>
      <c r="F317" s="101"/>
      <c r="G317" s="101"/>
      <c r="H317" s="101"/>
      <c r="I317" s="101"/>
      <c r="J317" s="101"/>
      <c r="K317" s="88"/>
      <c r="L317" s="352"/>
    </row>
    <row r="318" spans="1:12" ht="13" customHeight="1">
      <c r="A318" s="82"/>
      <c r="B318" s="106"/>
      <c r="C318" s="107"/>
      <c r="D318" s="108"/>
      <c r="E318" s="109"/>
      <c r="F318" s="109"/>
      <c r="G318" s="109"/>
      <c r="H318" s="109"/>
      <c r="I318" s="109"/>
      <c r="J318" s="109"/>
      <c r="K318" s="92"/>
      <c r="L318" s="353"/>
    </row>
    <row r="319" spans="1:12" ht="13" customHeight="1">
      <c r="A319" s="82"/>
      <c r="B319" s="110" t="s">
        <v>73</v>
      </c>
      <c r="C319" s="111"/>
      <c r="D319" s="112" t="s">
        <v>13</v>
      </c>
      <c r="E319" s="112" t="s">
        <v>13</v>
      </c>
      <c r="F319" s="112" t="s">
        <v>13</v>
      </c>
      <c r="G319" s="112" t="s">
        <v>13</v>
      </c>
      <c r="H319" s="112" t="s">
        <v>13</v>
      </c>
      <c r="I319" s="112" t="s">
        <v>13</v>
      </c>
      <c r="J319" s="112" t="s">
        <v>13</v>
      </c>
      <c r="K319" s="112" t="s">
        <v>13</v>
      </c>
      <c r="L319" s="113" t="s">
        <v>13</v>
      </c>
    </row>
    <row r="320" spans="1:12" ht="13" customHeight="1">
      <c r="A320" s="82"/>
      <c r="B320" s="91" t="s">
        <v>139</v>
      </c>
      <c r="C320" s="92"/>
      <c r="D320" s="93">
        <v>374520</v>
      </c>
      <c r="E320" s="93">
        <v>368040</v>
      </c>
      <c r="F320" s="93">
        <v>361580</v>
      </c>
      <c r="G320" s="93">
        <v>355120</v>
      </c>
      <c r="H320" s="93">
        <v>348640</v>
      </c>
      <c r="I320" s="93">
        <v>342180</v>
      </c>
      <c r="J320" s="93">
        <v>335720</v>
      </c>
      <c r="K320" s="93">
        <v>329240</v>
      </c>
      <c r="L320" s="94">
        <v>655400</v>
      </c>
    </row>
    <row r="321" spans="1:12" ht="13" customHeight="1">
      <c r="A321" s="82"/>
      <c r="B321" s="110"/>
      <c r="C321" s="111"/>
      <c r="D321" s="114"/>
      <c r="E321" s="115"/>
      <c r="F321" s="115"/>
      <c r="G321" s="115"/>
      <c r="H321" s="115"/>
      <c r="I321" s="115"/>
      <c r="J321" s="115"/>
      <c r="K321" s="116"/>
      <c r="L321" s="345" t="s">
        <v>130</v>
      </c>
    </row>
    <row r="322" spans="1:12" ht="13" customHeight="1">
      <c r="A322" s="82"/>
      <c r="B322" s="98" t="s">
        <v>138</v>
      </c>
      <c r="C322" s="99"/>
      <c r="D322" s="100"/>
      <c r="E322" s="101"/>
      <c r="F322" s="101"/>
      <c r="G322" s="101"/>
      <c r="H322" s="101"/>
      <c r="I322" s="101"/>
      <c r="J322" s="101"/>
      <c r="K322" s="88"/>
      <c r="L322" s="346"/>
    </row>
    <row r="323" spans="1:12" ht="13" customHeight="1">
      <c r="A323" s="82"/>
      <c r="B323" s="87"/>
      <c r="C323" s="88"/>
      <c r="D323" s="102" t="s">
        <v>137</v>
      </c>
      <c r="E323" s="103"/>
      <c r="F323" s="103"/>
      <c r="G323" s="103"/>
      <c r="H323" s="103"/>
      <c r="I323" s="103"/>
      <c r="J323" s="103"/>
      <c r="K323" s="99"/>
      <c r="L323" s="346"/>
    </row>
    <row r="324" spans="1:12" ht="13" customHeight="1">
      <c r="A324" s="82"/>
      <c r="B324" s="98" t="s">
        <v>136</v>
      </c>
      <c r="C324" s="99"/>
      <c r="D324" s="100"/>
      <c r="E324" s="101"/>
      <c r="F324" s="101"/>
      <c r="G324" s="101"/>
      <c r="H324" s="101"/>
      <c r="I324" s="101"/>
      <c r="J324" s="101"/>
      <c r="K324" s="88"/>
      <c r="L324" s="346"/>
    </row>
    <row r="325" spans="1:12" ht="13" customHeight="1">
      <c r="A325" s="82"/>
      <c r="B325" s="104"/>
      <c r="C325" s="105"/>
      <c r="D325" s="102" t="s">
        <v>135</v>
      </c>
      <c r="E325" s="103"/>
      <c r="F325" s="103"/>
      <c r="G325" s="103"/>
      <c r="H325" s="103"/>
      <c r="I325" s="103"/>
      <c r="J325" s="103"/>
      <c r="K325" s="99"/>
      <c r="L325" s="346"/>
    </row>
    <row r="326" spans="1:12" ht="13" customHeight="1">
      <c r="A326" s="82"/>
      <c r="B326" s="98" t="s">
        <v>72</v>
      </c>
      <c r="C326" s="99"/>
      <c r="D326" s="100"/>
      <c r="E326" s="101"/>
      <c r="F326" s="101"/>
      <c r="G326" s="101"/>
      <c r="H326" s="101"/>
      <c r="I326" s="101"/>
      <c r="J326" s="101"/>
      <c r="K326" s="88"/>
      <c r="L326" s="346"/>
    </row>
    <row r="327" spans="1:12" ht="13" customHeight="1">
      <c r="A327" s="82"/>
      <c r="B327" s="106"/>
      <c r="C327" s="107"/>
      <c r="D327" s="108"/>
      <c r="E327" s="109"/>
      <c r="F327" s="109"/>
      <c r="G327" s="109"/>
      <c r="H327" s="109"/>
      <c r="I327" s="109"/>
      <c r="J327" s="109"/>
      <c r="K327" s="92"/>
      <c r="L327" s="346"/>
    </row>
    <row r="328" spans="1:12" ht="13" customHeight="1">
      <c r="A328" s="82"/>
      <c r="B328" s="110" t="s">
        <v>73</v>
      </c>
      <c r="C328" s="111"/>
      <c r="D328" s="112" t="s">
        <v>13</v>
      </c>
      <c r="E328" s="112" t="s">
        <v>13</v>
      </c>
      <c r="F328" s="112" t="s">
        <v>13</v>
      </c>
      <c r="G328" s="112" t="s">
        <v>13</v>
      </c>
      <c r="H328" s="112" t="s">
        <v>13</v>
      </c>
      <c r="I328" s="112" t="s">
        <v>13</v>
      </c>
      <c r="J328" s="112" t="s">
        <v>13</v>
      </c>
      <c r="K328" s="112" t="s">
        <v>13</v>
      </c>
      <c r="L328" s="346"/>
    </row>
    <row r="329" spans="1:12" ht="13" customHeight="1">
      <c r="A329" s="82"/>
      <c r="B329" s="91" t="s">
        <v>134</v>
      </c>
      <c r="C329" s="92"/>
      <c r="D329" s="93">
        <v>549440</v>
      </c>
      <c r="E329" s="93">
        <v>542970</v>
      </c>
      <c r="F329" s="93">
        <v>536500</v>
      </c>
      <c r="G329" s="93">
        <v>530040</v>
      </c>
      <c r="H329" s="93">
        <v>523570</v>
      </c>
      <c r="I329" s="93">
        <v>517110</v>
      </c>
      <c r="J329" s="93">
        <v>510640</v>
      </c>
      <c r="K329" s="93">
        <v>504170</v>
      </c>
      <c r="L329" s="346"/>
    </row>
    <row r="330" spans="1:12" ht="13" customHeight="1">
      <c r="A330" s="82"/>
      <c r="B330" s="87"/>
      <c r="C330" s="88"/>
      <c r="D330" s="95"/>
      <c r="E330" s="96"/>
      <c r="F330" s="96"/>
      <c r="G330" s="96"/>
      <c r="H330" s="96"/>
      <c r="I330" s="96"/>
      <c r="J330" s="96"/>
      <c r="K330" s="97"/>
      <c r="L330" s="346"/>
    </row>
    <row r="331" spans="1:12" ht="13" customHeight="1">
      <c r="A331" s="82"/>
      <c r="B331" s="98" t="s">
        <v>133</v>
      </c>
      <c r="C331" s="99"/>
      <c r="D331" s="100"/>
      <c r="E331" s="101"/>
      <c r="F331" s="101"/>
      <c r="G331" s="101"/>
      <c r="H331" s="101"/>
      <c r="I331" s="101"/>
      <c r="J331" s="101"/>
      <c r="K331" s="88"/>
      <c r="L331" s="346"/>
    </row>
    <row r="332" spans="1:12" ht="13" customHeight="1">
      <c r="A332" s="82"/>
      <c r="B332" s="87"/>
      <c r="C332" s="88"/>
      <c r="D332" s="102" t="s">
        <v>132</v>
      </c>
      <c r="E332" s="103"/>
      <c r="F332" s="103"/>
      <c r="G332" s="103"/>
      <c r="H332" s="103"/>
      <c r="I332" s="103"/>
      <c r="J332" s="103"/>
      <c r="K332" s="99"/>
      <c r="L332" s="346"/>
    </row>
    <row r="333" spans="1:12" ht="13" customHeight="1">
      <c r="A333" s="82"/>
      <c r="B333" s="98" t="s">
        <v>74</v>
      </c>
      <c r="C333" s="99"/>
      <c r="D333" s="100"/>
      <c r="E333" s="101"/>
      <c r="F333" s="101"/>
      <c r="G333" s="101"/>
      <c r="H333" s="101"/>
      <c r="I333" s="101"/>
      <c r="J333" s="101"/>
      <c r="K333" s="88"/>
      <c r="L333" s="346"/>
    </row>
    <row r="334" spans="1:12" ht="13" customHeight="1">
      <c r="A334" s="82"/>
      <c r="B334" s="104"/>
      <c r="C334" s="105"/>
      <c r="D334" s="102" t="s">
        <v>131</v>
      </c>
      <c r="E334" s="103"/>
      <c r="F334" s="103"/>
      <c r="G334" s="103"/>
      <c r="H334" s="103"/>
      <c r="I334" s="103"/>
      <c r="J334" s="103"/>
      <c r="K334" s="99"/>
      <c r="L334" s="346"/>
    </row>
    <row r="335" spans="1:12" ht="13" customHeight="1">
      <c r="A335" s="82"/>
      <c r="B335" s="98" t="s">
        <v>72</v>
      </c>
      <c r="C335" s="99"/>
      <c r="D335" s="100"/>
      <c r="E335" s="101"/>
      <c r="F335" s="101"/>
      <c r="G335" s="101"/>
      <c r="H335" s="101"/>
      <c r="I335" s="101"/>
      <c r="J335" s="101"/>
      <c r="K335" s="88"/>
      <c r="L335" s="346"/>
    </row>
    <row r="336" spans="1:12" ht="13" customHeight="1">
      <c r="A336" s="82"/>
      <c r="B336" s="106"/>
      <c r="C336" s="107"/>
      <c r="D336" s="108"/>
      <c r="E336" s="109"/>
      <c r="F336" s="109"/>
      <c r="G336" s="109"/>
      <c r="H336" s="109"/>
      <c r="I336" s="109"/>
      <c r="J336" s="109"/>
      <c r="K336" s="92"/>
      <c r="L336" s="346"/>
    </row>
    <row r="337" spans="1:12" ht="13" customHeight="1">
      <c r="A337" s="82"/>
      <c r="B337" s="110" t="s">
        <v>73</v>
      </c>
      <c r="C337" s="111"/>
      <c r="D337" s="112" t="s">
        <v>13</v>
      </c>
      <c r="E337" s="112" t="s">
        <v>13</v>
      </c>
      <c r="F337" s="112" t="s">
        <v>13</v>
      </c>
      <c r="G337" s="112" t="s">
        <v>13</v>
      </c>
      <c r="H337" s="112" t="s">
        <v>13</v>
      </c>
      <c r="I337" s="112" t="s">
        <v>13</v>
      </c>
      <c r="J337" s="112" t="s">
        <v>13</v>
      </c>
      <c r="K337" s="112" t="s">
        <v>13</v>
      </c>
      <c r="L337" s="346"/>
    </row>
    <row r="338" spans="1:12" ht="13" customHeight="1">
      <c r="A338" s="82"/>
      <c r="B338" s="91" t="s">
        <v>75</v>
      </c>
      <c r="C338" s="92"/>
      <c r="D338" s="93">
        <v>571220</v>
      </c>
      <c r="E338" s="93">
        <v>564750</v>
      </c>
      <c r="F338" s="93">
        <v>558280</v>
      </c>
      <c r="G338" s="93">
        <v>551820</v>
      </c>
      <c r="H338" s="93">
        <v>545350</v>
      </c>
      <c r="I338" s="93">
        <v>538880</v>
      </c>
      <c r="J338" s="93">
        <v>532420</v>
      </c>
      <c r="K338" s="93">
        <v>525950</v>
      </c>
      <c r="L338" s="346"/>
    </row>
    <row r="339" spans="1:12" ht="13" customHeight="1">
      <c r="A339" s="82"/>
      <c r="B339" s="87"/>
      <c r="C339" s="88"/>
      <c r="D339" s="95"/>
      <c r="E339" s="96"/>
      <c r="F339" s="96"/>
      <c r="G339" s="96"/>
      <c r="H339" s="96"/>
      <c r="I339" s="96"/>
      <c r="J339" s="96"/>
      <c r="K339" s="97"/>
      <c r="L339" s="346"/>
    </row>
    <row r="340" spans="1:12" ht="13" customHeight="1">
      <c r="A340" s="82"/>
      <c r="B340" s="98" t="s">
        <v>76</v>
      </c>
      <c r="C340" s="99"/>
      <c r="D340" s="100"/>
      <c r="E340" s="101"/>
      <c r="F340" s="101"/>
      <c r="G340" s="101"/>
      <c r="H340" s="101"/>
      <c r="I340" s="101"/>
      <c r="J340" s="101"/>
      <c r="K340" s="88"/>
      <c r="L340" s="346"/>
    </row>
    <row r="341" spans="1:12" ht="13" customHeight="1">
      <c r="A341" s="82"/>
      <c r="B341" s="87"/>
      <c r="C341" s="88"/>
      <c r="D341" s="102" t="s">
        <v>77</v>
      </c>
      <c r="E341" s="103"/>
      <c r="F341" s="103"/>
      <c r="G341" s="103"/>
      <c r="H341" s="103"/>
      <c r="I341" s="103"/>
      <c r="J341" s="103"/>
      <c r="K341" s="99"/>
      <c r="L341" s="346"/>
    </row>
    <row r="342" spans="1:12" ht="13" customHeight="1">
      <c r="A342" s="82"/>
      <c r="B342" s="98" t="s">
        <v>78</v>
      </c>
      <c r="C342" s="99"/>
      <c r="D342" s="100"/>
      <c r="E342" s="101"/>
      <c r="F342" s="101"/>
      <c r="G342" s="101"/>
      <c r="H342" s="101"/>
      <c r="I342" s="101"/>
      <c r="J342" s="101"/>
      <c r="K342" s="88"/>
      <c r="L342" s="346"/>
    </row>
    <row r="343" spans="1:12" ht="13" customHeight="1">
      <c r="A343" s="82"/>
      <c r="B343" s="104"/>
      <c r="C343" s="105"/>
      <c r="D343" s="102" t="s">
        <v>79</v>
      </c>
      <c r="E343" s="103"/>
      <c r="F343" s="103"/>
      <c r="G343" s="103"/>
      <c r="H343" s="103"/>
      <c r="I343" s="103"/>
      <c r="J343" s="103"/>
      <c r="K343" s="99"/>
      <c r="L343" s="346"/>
    </row>
    <row r="344" spans="1:12" ht="13" customHeight="1">
      <c r="A344" s="82"/>
      <c r="B344" s="98" t="s">
        <v>72</v>
      </c>
      <c r="C344" s="99"/>
      <c r="D344" s="100"/>
      <c r="E344" s="101"/>
      <c r="F344" s="101"/>
      <c r="G344" s="101"/>
      <c r="H344" s="101"/>
      <c r="I344" s="101"/>
      <c r="J344" s="101"/>
      <c r="K344" s="88"/>
      <c r="L344" s="346"/>
    </row>
    <row r="345" spans="1:12" ht="13" customHeight="1">
      <c r="A345" s="82"/>
      <c r="B345" s="106"/>
      <c r="C345" s="107"/>
      <c r="D345" s="108"/>
      <c r="E345" s="109"/>
      <c r="F345" s="109"/>
      <c r="G345" s="109"/>
      <c r="H345" s="109"/>
      <c r="I345" s="109"/>
      <c r="J345" s="109"/>
      <c r="K345" s="92"/>
      <c r="L345" s="346"/>
    </row>
    <row r="346" spans="1:12" ht="13" customHeight="1">
      <c r="A346" s="82"/>
      <c r="B346" s="110" t="s">
        <v>73</v>
      </c>
      <c r="C346" s="111"/>
      <c r="D346" s="112" t="s">
        <v>13</v>
      </c>
      <c r="E346" s="112" t="s">
        <v>13</v>
      </c>
      <c r="F346" s="112" t="s">
        <v>13</v>
      </c>
      <c r="G346" s="112" t="s">
        <v>13</v>
      </c>
      <c r="H346" s="112" t="s">
        <v>13</v>
      </c>
      <c r="I346" s="112" t="s">
        <v>13</v>
      </c>
      <c r="J346" s="112" t="s">
        <v>13</v>
      </c>
      <c r="K346" s="112" t="s">
        <v>13</v>
      </c>
      <c r="L346" s="346"/>
    </row>
    <row r="347" spans="1:12" ht="13" customHeight="1">
      <c r="A347" s="82"/>
      <c r="B347" s="91" t="s">
        <v>80</v>
      </c>
      <c r="C347" s="92"/>
      <c r="D347" s="93">
        <v>593000</v>
      </c>
      <c r="E347" s="93">
        <v>586520</v>
      </c>
      <c r="F347" s="93">
        <v>580060</v>
      </c>
      <c r="G347" s="93">
        <v>573600</v>
      </c>
      <c r="H347" s="93">
        <v>567120</v>
      </c>
      <c r="I347" s="93">
        <v>560660</v>
      </c>
      <c r="J347" s="93">
        <v>554200</v>
      </c>
      <c r="K347" s="93">
        <v>547730</v>
      </c>
      <c r="L347" s="346"/>
    </row>
    <row r="348" spans="1:12" ht="13" customHeight="1">
      <c r="A348" s="82"/>
      <c r="B348" s="87"/>
      <c r="C348" s="88"/>
      <c r="D348" s="95"/>
      <c r="E348" s="96"/>
      <c r="F348" s="96"/>
      <c r="G348" s="96"/>
      <c r="H348" s="96"/>
      <c r="I348" s="96"/>
      <c r="J348" s="96"/>
      <c r="K348" s="97"/>
      <c r="L348" s="346"/>
    </row>
    <row r="349" spans="1:12" ht="13" customHeight="1">
      <c r="A349" s="82"/>
      <c r="B349" s="98" t="s">
        <v>81</v>
      </c>
      <c r="C349" s="99"/>
      <c r="D349" s="100"/>
      <c r="E349" s="101"/>
      <c r="F349" s="101"/>
      <c r="G349" s="101"/>
      <c r="H349" s="101"/>
      <c r="I349" s="101"/>
      <c r="J349" s="101"/>
      <c r="K349" s="88"/>
      <c r="L349" s="346"/>
    </row>
    <row r="350" spans="1:12" ht="13" customHeight="1">
      <c r="A350" s="82"/>
      <c r="B350" s="87"/>
      <c r="C350" s="88"/>
      <c r="D350" s="102" t="s">
        <v>82</v>
      </c>
      <c r="E350" s="103"/>
      <c r="F350" s="103"/>
      <c r="G350" s="103"/>
      <c r="H350" s="103"/>
      <c r="I350" s="103"/>
      <c r="J350" s="103"/>
      <c r="K350" s="99"/>
      <c r="L350" s="346"/>
    </row>
    <row r="351" spans="1:12" ht="13" customHeight="1">
      <c r="A351" s="82"/>
      <c r="B351" s="98" t="s">
        <v>83</v>
      </c>
      <c r="C351" s="99"/>
      <c r="D351" s="100"/>
      <c r="E351" s="101"/>
      <c r="F351" s="101"/>
      <c r="G351" s="101"/>
      <c r="H351" s="101"/>
      <c r="I351" s="101"/>
      <c r="J351" s="101"/>
      <c r="K351" s="88"/>
      <c r="L351" s="346"/>
    </row>
    <row r="352" spans="1:12" ht="13" customHeight="1">
      <c r="A352" s="82"/>
      <c r="B352" s="104"/>
      <c r="C352" s="105"/>
      <c r="D352" s="102" t="s">
        <v>84</v>
      </c>
      <c r="E352" s="103"/>
      <c r="F352" s="103"/>
      <c r="G352" s="103"/>
      <c r="H352" s="103"/>
      <c r="I352" s="103"/>
      <c r="J352" s="103"/>
      <c r="K352" s="99"/>
      <c r="L352" s="346"/>
    </row>
    <row r="353" spans="1:12" ht="13" customHeight="1">
      <c r="A353" s="82"/>
      <c r="B353" s="98" t="s">
        <v>72</v>
      </c>
      <c r="C353" s="99"/>
      <c r="D353" s="100"/>
      <c r="E353" s="101"/>
      <c r="F353" s="101"/>
      <c r="G353" s="101"/>
      <c r="H353" s="101"/>
      <c r="I353" s="101"/>
      <c r="J353" s="101"/>
      <c r="K353" s="88"/>
      <c r="L353" s="346"/>
    </row>
    <row r="354" spans="1:12" ht="13" customHeight="1">
      <c r="A354" s="82"/>
      <c r="B354" s="106"/>
      <c r="C354" s="107"/>
      <c r="D354" s="108"/>
      <c r="E354" s="109"/>
      <c r="F354" s="109"/>
      <c r="G354" s="109"/>
      <c r="H354" s="109"/>
      <c r="I354" s="109"/>
      <c r="J354" s="109"/>
      <c r="K354" s="92"/>
      <c r="L354" s="346"/>
    </row>
    <row r="355" spans="1:12" ht="13" customHeight="1">
      <c r="A355" s="82"/>
      <c r="B355" s="110" t="s">
        <v>73</v>
      </c>
      <c r="C355" s="111"/>
      <c r="D355" s="112" t="s">
        <v>13</v>
      </c>
      <c r="E355" s="112" t="s">
        <v>13</v>
      </c>
      <c r="F355" s="112" t="s">
        <v>13</v>
      </c>
      <c r="G355" s="112" t="s">
        <v>13</v>
      </c>
      <c r="H355" s="112" t="s">
        <v>13</v>
      </c>
      <c r="I355" s="112" t="s">
        <v>13</v>
      </c>
      <c r="J355" s="112" t="s">
        <v>13</v>
      </c>
      <c r="K355" s="112" t="s">
        <v>13</v>
      </c>
      <c r="L355" s="346"/>
    </row>
    <row r="356" spans="1:12" ht="13" customHeight="1">
      <c r="A356" s="82"/>
      <c r="B356" s="91" t="s">
        <v>85</v>
      </c>
      <c r="C356" s="92"/>
      <c r="D356" s="93">
        <v>614770</v>
      </c>
      <c r="E356" s="93">
        <v>608300</v>
      </c>
      <c r="F356" s="93">
        <v>601840</v>
      </c>
      <c r="G356" s="93">
        <v>595380</v>
      </c>
      <c r="H356" s="93">
        <v>588900</v>
      </c>
      <c r="I356" s="93">
        <v>582440</v>
      </c>
      <c r="J356" s="93">
        <v>575980</v>
      </c>
      <c r="K356" s="93">
        <v>569500</v>
      </c>
      <c r="L356" s="346"/>
    </row>
    <row r="357" spans="1:12" ht="13" customHeight="1">
      <c r="A357" s="82"/>
      <c r="B357" s="87"/>
      <c r="C357" s="88"/>
      <c r="D357" s="95"/>
      <c r="E357" s="96"/>
      <c r="F357" s="96"/>
      <c r="G357" s="96"/>
      <c r="H357" s="96"/>
      <c r="I357" s="96"/>
      <c r="J357" s="96"/>
      <c r="K357" s="97"/>
      <c r="L357" s="346"/>
    </row>
    <row r="358" spans="1:12" ht="13" customHeight="1">
      <c r="A358" s="82"/>
      <c r="B358" s="98" t="s">
        <v>86</v>
      </c>
      <c r="C358" s="99"/>
      <c r="D358" s="100"/>
      <c r="E358" s="101"/>
      <c r="F358" s="101"/>
      <c r="G358" s="101"/>
      <c r="H358" s="101"/>
      <c r="I358" s="101"/>
      <c r="J358" s="101"/>
      <c r="K358" s="88"/>
      <c r="L358" s="346"/>
    </row>
    <row r="359" spans="1:12" ht="13" customHeight="1">
      <c r="A359" s="82"/>
      <c r="B359" s="87"/>
      <c r="C359" s="88"/>
      <c r="D359" s="102" t="s">
        <v>87</v>
      </c>
      <c r="E359" s="103"/>
      <c r="F359" s="103"/>
      <c r="G359" s="103"/>
      <c r="H359" s="103"/>
      <c r="I359" s="103"/>
      <c r="J359" s="103"/>
      <c r="K359" s="99"/>
      <c r="L359" s="346"/>
    </row>
    <row r="360" spans="1:12" ht="13" customHeight="1">
      <c r="A360" s="82"/>
      <c r="B360" s="98" t="s">
        <v>88</v>
      </c>
      <c r="C360" s="99"/>
      <c r="D360" s="100"/>
      <c r="E360" s="101"/>
      <c r="F360" s="101"/>
      <c r="G360" s="101"/>
      <c r="H360" s="101"/>
      <c r="I360" s="101"/>
      <c r="J360" s="101"/>
      <c r="K360" s="88"/>
      <c r="L360" s="346"/>
    </row>
    <row r="361" spans="1:12" ht="13" customHeight="1">
      <c r="A361" s="82"/>
      <c r="B361" s="104"/>
      <c r="C361" s="105"/>
      <c r="D361" s="102" t="s">
        <v>89</v>
      </c>
      <c r="E361" s="103"/>
      <c r="F361" s="103"/>
      <c r="G361" s="103"/>
      <c r="H361" s="103"/>
      <c r="I361" s="103"/>
      <c r="J361" s="103"/>
      <c r="K361" s="99"/>
      <c r="L361" s="346"/>
    </row>
    <row r="362" spans="1:12" ht="13" customHeight="1">
      <c r="A362" s="82"/>
      <c r="B362" s="98" t="s">
        <v>72</v>
      </c>
      <c r="C362" s="99"/>
      <c r="D362" s="100"/>
      <c r="E362" s="101"/>
      <c r="F362" s="101"/>
      <c r="G362" s="101"/>
      <c r="H362" s="101"/>
      <c r="I362" s="101"/>
      <c r="J362" s="101"/>
      <c r="K362" s="88"/>
      <c r="L362" s="346"/>
    </row>
    <row r="363" spans="1:12" ht="13" customHeight="1">
      <c r="A363" s="82"/>
      <c r="B363" s="106"/>
      <c r="C363" s="107"/>
      <c r="D363" s="108"/>
      <c r="E363" s="109"/>
      <c r="F363" s="109"/>
      <c r="G363" s="109"/>
      <c r="H363" s="109"/>
      <c r="I363" s="109"/>
      <c r="J363" s="109"/>
      <c r="K363" s="92"/>
      <c r="L363" s="347"/>
    </row>
    <row r="364" spans="1:12">
      <c r="B364" s="87"/>
      <c r="C364" s="88"/>
      <c r="D364" s="89"/>
      <c r="E364" s="89"/>
      <c r="F364" s="89"/>
      <c r="G364" s="89"/>
      <c r="H364" s="89"/>
      <c r="I364" s="89"/>
      <c r="J364" s="89"/>
      <c r="K364" s="89"/>
      <c r="L364" s="346" t="s">
        <v>130</v>
      </c>
    </row>
    <row r="365" spans="1:12">
      <c r="B365" s="91" t="s">
        <v>90</v>
      </c>
      <c r="C365" s="92"/>
      <c r="D365" s="93">
        <v>1125270</v>
      </c>
      <c r="E365" s="93">
        <v>1118800</v>
      </c>
      <c r="F365" s="93">
        <v>1112340</v>
      </c>
      <c r="G365" s="93">
        <v>1105880</v>
      </c>
      <c r="H365" s="93">
        <v>1099400</v>
      </c>
      <c r="I365" s="93">
        <v>1092940</v>
      </c>
      <c r="J365" s="93">
        <v>1086480</v>
      </c>
      <c r="K365" s="93">
        <v>1080000</v>
      </c>
      <c r="L365" s="348"/>
    </row>
    <row r="366" spans="1:12">
      <c r="B366" s="117"/>
      <c r="C366" s="88"/>
      <c r="D366" s="95"/>
      <c r="E366" s="96"/>
      <c r="F366" s="96"/>
      <c r="G366" s="96"/>
      <c r="H366" s="96"/>
      <c r="I366" s="96"/>
      <c r="J366" s="96"/>
      <c r="K366" s="97"/>
      <c r="L366" s="348"/>
    </row>
    <row r="367" spans="1:12">
      <c r="B367" s="117"/>
      <c r="C367" s="88"/>
      <c r="D367" s="95"/>
      <c r="E367" s="96"/>
      <c r="F367" s="96"/>
      <c r="G367" s="96"/>
      <c r="H367" s="96"/>
      <c r="I367" s="96"/>
      <c r="J367" s="96"/>
      <c r="K367" s="97"/>
      <c r="L367" s="348"/>
    </row>
    <row r="368" spans="1:12">
      <c r="B368" s="87"/>
      <c r="C368" s="88"/>
      <c r="D368" s="95"/>
      <c r="E368" s="96"/>
      <c r="F368" s="96"/>
      <c r="G368" s="96"/>
      <c r="H368" s="96"/>
      <c r="I368" s="96"/>
      <c r="J368" s="96"/>
      <c r="K368" s="97"/>
      <c r="L368" s="348"/>
    </row>
    <row r="369" spans="2:12">
      <c r="B369" s="98" t="s">
        <v>91</v>
      </c>
      <c r="C369" s="99"/>
      <c r="D369" s="102" t="s">
        <v>92</v>
      </c>
      <c r="E369" s="101"/>
      <c r="F369" s="101"/>
      <c r="G369" s="101"/>
      <c r="H369" s="101"/>
      <c r="I369" s="101"/>
      <c r="J369" s="101"/>
      <c r="K369" s="88"/>
      <c r="L369" s="348"/>
    </row>
    <row r="370" spans="2:12">
      <c r="B370" s="87"/>
      <c r="C370" s="88"/>
      <c r="D370" s="100"/>
      <c r="E370" s="103"/>
      <c r="F370" s="103"/>
      <c r="G370" s="103"/>
      <c r="H370" s="103"/>
      <c r="I370" s="103"/>
      <c r="J370" s="103"/>
      <c r="K370" s="99"/>
      <c r="L370" s="348"/>
    </row>
    <row r="371" spans="2:12">
      <c r="B371" s="98" t="s">
        <v>93</v>
      </c>
      <c r="C371" s="99"/>
      <c r="D371" s="102" t="s">
        <v>94</v>
      </c>
      <c r="E371" s="101"/>
      <c r="F371" s="101"/>
      <c r="G371" s="101"/>
      <c r="H371" s="101"/>
      <c r="I371" s="101"/>
      <c r="J371" s="101"/>
      <c r="K371" s="88"/>
      <c r="L371" s="348"/>
    </row>
    <row r="372" spans="2:12">
      <c r="B372" s="98"/>
      <c r="C372" s="99"/>
      <c r="D372" s="102"/>
      <c r="E372" s="101"/>
      <c r="F372" s="101"/>
      <c r="G372" s="101"/>
      <c r="H372" s="101"/>
      <c r="I372" s="101"/>
      <c r="J372" s="101"/>
      <c r="K372" s="88"/>
      <c r="L372" s="348"/>
    </row>
    <row r="373" spans="2:12">
      <c r="B373" s="98"/>
      <c r="C373" s="99"/>
      <c r="D373" s="102"/>
      <c r="E373" s="101"/>
      <c r="F373" s="101"/>
      <c r="G373" s="101"/>
      <c r="H373" s="101"/>
      <c r="I373" s="101"/>
      <c r="J373" s="101"/>
      <c r="K373" s="88"/>
      <c r="L373" s="348"/>
    </row>
    <row r="374" spans="2:12">
      <c r="B374" s="106"/>
      <c r="C374" s="107"/>
      <c r="D374" s="108"/>
      <c r="E374" s="109"/>
      <c r="F374" s="109"/>
      <c r="G374" s="109"/>
      <c r="H374" s="109"/>
      <c r="I374" s="109"/>
      <c r="J374" s="109"/>
      <c r="K374" s="92"/>
      <c r="L374" s="349"/>
    </row>
    <row r="375" spans="2:12" ht="13.5" customHeight="1">
      <c r="B375" s="118"/>
      <c r="C375" s="119"/>
      <c r="D375" s="120"/>
      <c r="E375" s="120"/>
      <c r="F375" s="120"/>
      <c r="G375" s="120"/>
      <c r="H375" s="120"/>
      <c r="I375" s="120"/>
      <c r="J375" s="120"/>
      <c r="K375" s="121"/>
      <c r="L375" s="338" t="s">
        <v>129</v>
      </c>
    </row>
    <row r="376" spans="2:12" ht="13.5" customHeight="1">
      <c r="B376" s="104"/>
      <c r="C376" s="122"/>
      <c r="D376" s="123"/>
      <c r="E376" s="123"/>
      <c r="F376" s="123"/>
      <c r="G376" s="123"/>
      <c r="H376" s="123"/>
      <c r="I376" s="123"/>
      <c r="J376" s="123"/>
      <c r="K376" s="124"/>
      <c r="L376" s="339"/>
    </row>
    <row r="377" spans="2:12">
      <c r="B377" s="104"/>
      <c r="C377" s="122"/>
      <c r="D377" s="123"/>
      <c r="E377" s="123"/>
      <c r="F377" s="123"/>
      <c r="G377" s="123"/>
      <c r="H377" s="123"/>
      <c r="I377" s="123"/>
      <c r="J377" s="123"/>
      <c r="K377" s="124"/>
      <c r="L377" s="339"/>
    </row>
    <row r="378" spans="2:12">
      <c r="B378" s="98" t="s">
        <v>95</v>
      </c>
      <c r="C378" s="122"/>
      <c r="D378" s="123"/>
      <c r="E378" s="123"/>
      <c r="F378" s="123"/>
      <c r="G378" s="123"/>
      <c r="H378" s="123"/>
      <c r="I378" s="123"/>
      <c r="J378" s="123"/>
      <c r="K378" s="124"/>
      <c r="L378" s="339"/>
    </row>
    <row r="379" spans="2:12">
      <c r="B379" s="104"/>
      <c r="C379" s="122"/>
      <c r="D379" s="123"/>
      <c r="E379" s="123"/>
      <c r="F379" s="123"/>
      <c r="G379" s="123"/>
      <c r="H379" s="123"/>
      <c r="I379" s="123"/>
      <c r="J379" s="123"/>
      <c r="K379" s="124"/>
      <c r="L379" s="339"/>
    </row>
    <row r="380" spans="2:12">
      <c r="B380" s="104"/>
      <c r="C380" s="122"/>
      <c r="D380" s="123"/>
      <c r="E380" s="123"/>
      <c r="F380" s="123"/>
      <c r="G380" s="123"/>
      <c r="H380" s="123"/>
      <c r="I380" s="123"/>
      <c r="J380" s="123"/>
      <c r="K380" s="124"/>
      <c r="L380" s="339"/>
    </row>
    <row r="381" spans="2:12">
      <c r="B381" s="104"/>
      <c r="C381" s="122"/>
      <c r="D381" s="123"/>
      <c r="E381" s="123"/>
      <c r="F381" s="123"/>
      <c r="G381" s="123"/>
      <c r="H381" s="123"/>
      <c r="I381" s="123"/>
      <c r="J381" s="123"/>
      <c r="K381" s="124"/>
      <c r="L381" s="339"/>
    </row>
    <row r="382" spans="2:12">
      <c r="B382" s="98" t="s">
        <v>96</v>
      </c>
      <c r="C382" s="122"/>
      <c r="D382" s="123"/>
      <c r="E382" s="123"/>
      <c r="F382" s="123"/>
      <c r="G382" s="123"/>
      <c r="H382" s="123"/>
      <c r="I382" s="123"/>
      <c r="J382" s="123"/>
      <c r="K382" s="124"/>
      <c r="L382" s="339"/>
    </row>
    <row r="383" spans="2:12">
      <c r="B383" s="125"/>
      <c r="C383" s="122"/>
      <c r="D383" s="123"/>
      <c r="E383" s="123"/>
      <c r="F383" s="123"/>
      <c r="G383" s="123"/>
      <c r="H383" s="123"/>
      <c r="I383" s="123"/>
      <c r="J383" s="123"/>
      <c r="K383" s="124"/>
      <c r="L383" s="339"/>
    </row>
    <row r="384" spans="2:12">
      <c r="B384" s="125"/>
      <c r="C384" s="103"/>
      <c r="D384" s="103"/>
      <c r="E384" s="103"/>
      <c r="F384" s="103"/>
      <c r="G384" s="103"/>
      <c r="H384" s="103"/>
      <c r="I384" s="103"/>
      <c r="J384" s="103"/>
      <c r="K384" s="99"/>
      <c r="L384" s="339"/>
    </row>
    <row r="385" spans="2:12">
      <c r="B385" s="104"/>
      <c r="C385" s="122"/>
      <c r="D385" s="123"/>
      <c r="E385" s="123"/>
      <c r="F385" s="123"/>
      <c r="G385" s="123"/>
      <c r="H385" s="123"/>
      <c r="I385" s="123"/>
      <c r="J385" s="123"/>
      <c r="K385" s="124"/>
      <c r="L385" s="339"/>
    </row>
    <row r="386" spans="2:12">
      <c r="B386" s="104"/>
      <c r="C386" s="122"/>
      <c r="D386" s="123"/>
      <c r="E386" s="123"/>
      <c r="F386" s="123"/>
      <c r="G386" s="123"/>
      <c r="H386" s="123"/>
      <c r="I386" s="123"/>
      <c r="J386" s="123"/>
      <c r="K386" s="124"/>
      <c r="L386" s="339"/>
    </row>
    <row r="387" spans="2:12" ht="15" thickBot="1">
      <c r="B387" s="126"/>
      <c r="C387" s="127"/>
      <c r="D387" s="128"/>
      <c r="E387" s="128"/>
      <c r="F387" s="128"/>
      <c r="G387" s="128"/>
      <c r="H387" s="128"/>
      <c r="I387" s="128"/>
      <c r="J387" s="128"/>
      <c r="K387" s="129"/>
      <c r="L387" s="340"/>
    </row>
    <row r="388" spans="2:12">
      <c r="B388" s="341" t="s">
        <v>97</v>
      </c>
      <c r="C388" s="341"/>
      <c r="D388" s="341"/>
      <c r="E388" s="341"/>
      <c r="F388" s="341"/>
      <c r="G388" s="341"/>
      <c r="H388" s="341"/>
      <c r="I388" s="341"/>
      <c r="J388" s="341"/>
      <c r="K388" s="341"/>
      <c r="L388" s="341"/>
    </row>
    <row r="389" spans="2:12">
      <c r="B389" s="342" t="s">
        <v>128</v>
      </c>
      <c r="C389" s="342"/>
      <c r="D389" s="342"/>
      <c r="E389" s="342"/>
      <c r="F389" s="342"/>
      <c r="G389" s="342"/>
      <c r="H389" s="342"/>
      <c r="I389" s="342"/>
      <c r="J389" s="342"/>
      <c r="K389" s="342"/>
      <c r="L389" s="342"/>
    </row>
    <row r="390" spans="2:12">
      <c r="B390" s="342" t="s">
        <v>127</v>
      </c>
      <c r="C390" s="342"/>
      <c r="D390" s="342"/>
      <c r="E390" s="342"/>
      <c r="F390" s="342"/>
      <c r="G390" s="342"/>
      <c r="H390" s="342"/>
      <c r="I390" s="342"/>
      <c r="J390" s="342"/>
      <c r="K390" s="342"/>
      <c r="L390" s="342"/>
    </row>
    <row r="391" spans="2:12" ht="13.5" customHeight="1">
      <c r="B391" s="337" t="s">
        <v>98</v>
      </c>
      <c r="C391" s="337"/>
      <c r="D391" s="337"/>
      <c r="E391" s="337"/>
      <c r="F391" s="337"/>
      <c r="G391" s="337"/>
      <c r="H391" s="337"/>
      <c r="I391" s="337"/>
      <c r="J391" s="337"/>
      <c r="K391" s="337"/>
      <c r="L391" s="337"/>
    </row>
    <row r="392" spans="2:12" ht="13.5" customHeight="1">
      <c r="B392" s="337" t="s">
        <v>126</v>
      </c>
      <c r="C392" s="337"/>
      <c r="D392" s="337"/>
      <c r="E392" s="337"/>
      <c r="F392" s="337"/>
      <c r="G392" s="337"/>
      <c r="H392" s="337"/>
      <c r="I392" s="337"/>
      <c r="J392" s="337"/>
      <c r="K392" s="337"/>
      <c r="L392" s="337"/>
    </row>
    <row r="393" spans="2:12" ht="13.5" customHeight="1">
      <c r="B393" s="337" t="s">
        <v>125</v>
      </c>
      <c r="C393" s="337"/>
      <c r="D393" s="337"/>
      <c r="E393" s="337"/>
      <c r="F393" s="337"/>
      <c r="G393" s="337"/>
      <c r="H393" s="337"/>
      <c r="I393" s="337"/>
      <c r="J393" s="337"/>
      <c r="K393" s="337"/>
      <c r="L393" s="337"/>
    </row>
    <row r="394" spans="2:12" ht="13.5" customHeight="1">
      <c r="B394" s="342" t="s">
        <v>124</v>
      </c>
      <c r="C394" s="342"/>
      <c r="D394" s="342"/>
      <c r="E394" s="342"/>
      <c r="F394" s="342"/>
      <c r="G394" s="342"/>
      <c r="H394" s="342"/>
      <c r="I394" s="342"/>
      <c r="J394" s="342"/>
      <c r="K394" s="342"/>
      <c r="L394" s="342"/>
    </row>
    <row r="395" spans="2:12" ht="13.5" customHeight="1">
      <c r="B395" s="337" t="s">
        <v>123</v>
      </c>
      <c r="C395" s="350"/>
      <c r="D395" s="350"/>
      <c r="E395" s="350"/>
      <c r="F395" s="350"/>
      <c r="G395" s="350"/>
      <c r="H395" s="350"/>
      <c r="I395" s="350"/>
      <c r="J395" s="350"/>
      <c r="K395" s="350"/>
      <c r="L395" s="350"/>
    </row>
    <row r="396" spans="2:12" ht="13.5" customHeight="1">
      <c r="B396" s="337" t="s">
        <v>122</v>
      </c>
      <c r="C396" s="337"/>
      <c r="D396" s="337"/>
      <c r="E396" s="337"/>
      <c r="F396" s="337"/>
      <c r="G396" s="337"/>
      <c r="H396" s="337"/>
      <c r="I396" s="337"/>
      <c r="J396" s="337"/>
      <c r="K396" s="337"/>
      <c r="L396" s="337"/>
    </row>
    <row r="397" spans="2:12" ht="13.5" customHeight="1">
      <c r="B397" s="337" t="s">
        <v>121</v>
      </c>
      <c r="C397" s="337"/>
      <c r="D397" s="337"/>
      <c r="E397" s="337"/>
      <c r="F397" s="337"/>
      <c r="G397" s="337"/>
      <c r="H397" s="337"/>
      <c r="I397" s="337"/>
      <c r="J397" s="337"/>
      <c r="K397" s="337"/>
      <c r="L397" s="337"/>
    </row>
    <row r="398" spans="2:12" ht="13.5" customHeight="1">
      <c r="B398" s="337" t="s">
        <v>120</v>
      </c>
      <c r="C398" s="350"/>
      <c r="D398" s="350"/>
      <c r="E398" s="350"/>
      <c r="F398" s="350"/>
      <c r="G398" s="350"/>
      <c r="H398" s="350"/>
      <c r="I398" s="350"/>
      <c r="J398" s="350"/>
      <c r="K398" s="350"/>
      <c r="L398" s="350"/>
    </row>
    <row r="399" spans="2:12" ht="13.5" customHeight="1">
      <c r="B399" s="354" t="s">
        <v>119</v>
      </c>
      <c r="C399" s="354"/>
      <c r="D399" s="354"/>
      <c r="E399" s="354"/>
      <c r="F399" s="354"/>
      <c r="G399" s="354"/>
      <c r="H399" s="354"/>
      <c r="I399" s="354"/>
      <c r="J399" s="354"/>
      <c r="K399" s="354"/>
      <c r="L399" s="354"/>
    </row>
    <row r="400" spans="2:12" ht="13.5" customHeight="1">
      <c r="B400" s="354" t="s">
        <v>118</v>
      </c>
      <c r="C400" s="354"/>
      <c r="D400" s="354"/>
      <c r="E400" s="354"/>
      <c r="F400" s="354"/>
      <c r="G400" s="354"/>
      <c r="H400" s="354"/>
      <c r="I400" s="354"/>
      <c r="J400" s="354"/>
      <c r="K400" s="354"/>
      <c r="L400" s="354"/>
    </row>
    <row r="401" spans="2:12" ht="13.5" customHeight="1">
      <c r="B401" s="337" t="s">
        <v>117</v>
      </c>
      <c r="C401" s="337"/>
      <c r="D401" s="337"/>
      <c r="E401" s="337"/>
      <c r="F401" s="337"/>
      <c r="G401" s="337"/>
      <c r="H401" s="337"/>
      <c r="I401" s="337"/>
      <c r="J401" s="337"/>
      <c r="K401" s="337"/>
      <c r="L401" s="337"/>
    </row>
    <row r="402" spans="2:12" ht="13.5" customHeight="1">
      <c r="B402" s="337" t="s">
        <v>116</v>
      </c>
      <c r="C402" s="337"/>
      <c r="D402" s="337"/>
      <c r="E402" s="337"/>
      <c r="F402" s="337"/>
      <c r="G402" s="337"/>
      <c r="H402" s="337"/>
      <c r="I402" s="337"/>
      <c r="J402" s="337"/>
      <c r="K402" s="337"/>
      <c r="L402" s="337"/>
    </row>
    <row r="403" spans="2:12">
      <c r="B403" s="337" t="s">
        <v>115</v>
      </c>
      <c r="C403" s="337"/>
      <c r="D403" s="337"/>
      <c r="E403" s="337"/>
      <c r="F403" s="337"/>
      <c r="G403" s="337"/>
      <c r="H403" s="337"/>
      <c r="I403" s="337"/>
      <c r="J403" s="337"/>
      <c r="K403" s="337"/>
      <c r="L403" s="337"/>
    </row>
    <row r="404" spans="2:12">
      <c r="B404" s="337" t="s">
        <v>114</v>
      </c>
      <c r="C404" s="337"/>
      <c r="D404" s="337"/>
      <c r="E404" s="337"/>
      <c r="F404" s="337"/>
      <c r="G404" s="337"/>
      <c r="H404" s="337"/>
      <c r="I404" s="337"/>
      <c r="J404" s="337"/>
      <c r="K404" s="337"/>
      <c r="L404" s="337"/>
    </row>
    <row r="405" spans="2:12">
      <c r="B405" s="337" t="s">
        <v>113</v>
      </c>
      <c r="C405" s="337"/>
      <c r="D405" s="337"/>
      <c r="E405" s="337"/>
      <c r="F405" s="337"/>
      <c r="G405" s="337"/>
      <c r="H405" s="337"/>
      <c r="I405" s="337"/>
      <c r="J405" s="337"/>
      <c r="K405" s="337"/>
      <c r="L405" s="337"/>
    </row>
    <row r="406" spans="2:12">
      <c r="B406" s="337" t="s">
        <v>112</v>
      </c>
      <c r="C406" s="337"/>
      <c r="D406" s="337"/>
      <c r="E406" s="337"/>
      <c r="F406" s="337"/>
      <c r="G406" s="337"/>
      <c r="H406" s="337"/>
      <c r="I406" s="337"/>
      <c r="J406" s="337"/>
      <c r="K406" s="337"/>
      <c r="L406" s="337"/>
    </row>
    <row r="407" spans="2:12">
      <c r="B407" s="337" t="s">
        <v>111</v>
      </c>
      <c r="C407" s="337"/>
      <c r="D407" s="337"/>
      <c r="E407" s="337"/>
      <c r="F407" s="337"/>
      <c r="G407" s="337"/>
      <c r="H407" s="337"/>
      <c r="I407" s="337"/>
      <c r="J407" s="337"/>
      <c r="K407" s="337"/>
      <c r="L407" s="337"/>
    </row>
    <row r="408" spans="2:12">
      <c r="B408" s="337" t="s">
        <v>110</v>
      </c>
      <c r="C408" s="337"/>
      <c r="D408" s="337"/>
      <c r="E408" s="337"/>
      <c r="F408" s="337"/>
      <c r="G408" s="337"/>
      <c r="H408" s="337"/>
      <c r="I408" s="337"/>
      <c r="J408" s="337"/>
      <c r="K408" s="337"/>
      <c r="L408" s="337"/>
    </row>
    <row r="409" spans="2:12">
      <c r="B409" s="337" t="s">
        <v>109</v>
      </c>
      <c r="C409" s="337"/>
      <c r="D409" s="337"/>
      <c r="E409" s="337"/>
      <c r="F409" s="337"/>
      <c r="G409" s="337"/>
      <c r="H409" s="337"/>
      <c r="I409" s="337"/>
      <c r="J409" s="337"/>
      <c r="K409" s="337"/>
      <c r="L409" s="337"/>
    </row>
    <row r="410" spans="2:12">
      <c r="B410" s="337" t="s">
        <v>108</v>
      </c>
      <c r="C410" s="337"/>
      <c r="D410" s="337"/>
      <c r="E410" s="337"/>
      <c r="F410" s="337"/>
      <c r="G410" s="337"/>
      <c r="H410" s="337"/>
      <c r="I410" s="337"/>
      <c r="J410" s="337"/>
      <c r="K410" s="337"/>
      <c r="L410" s="337"/>
    </row>
    <row r="411" spans="2:12">
      <c r="B411" s="337" t="s">
        <v>107</v>
      </c>
      <c r="C411" s="337"/>
      <c r="D411" s="337"/>
      <c r="E411" s="337"/>
      <c r="F411" s="337"/>
      <c r="G411" s="337"/>
      <c r="H411" s="337"/>
      <c r="I411" s="337"/>
      <c r="J411" s="337"/>
      <c r="K411" s="337"/>
      <c r="L411" s="337"/>
    </row>
    <row r="412" spans="2:12">
      <c r="B412" s="337" t="s">
        <v>106</v>
      </c>
      <c r="C412" s="337"/>
      <c r="D412" s="337"/>
      <c r="E412" s="337"/>
      <c r="F412" s="337"/>
      <c r="G412" s="337"/>
      <c r="H412" s="337"/>
      <c r="I412" s="337"/>
      <c r="J412" s="337"/>
      <c r="K412" s="337"/>
      <c r="L412" s="337"/>
    </row>
    <row r="413" spans="2:12">
      <c r="B413" s="337" t="s">
        <v>105</v>
      </c>
      <c r="C413" s="337"/>
      <c r="D413" s="337"/>
      <c r="E413" s="337"/>
      <c r="F413" s="337"/>
      <c r="G413" s="337"/>
      <c r="H413" s="337"/>
      <c r="I413" s="337"/>
      <c r="J413" s="337"/>
      <c r="K413" s="337"/>
      <c r="L413" s="337"/>
    </row>
  </sheetData>
  <sheetProtection sheet="1" objects="1" scenarios="1"/>
  <mergeCells count="33">
    <mergeCell ref="B413:L413"/>
    <mergeCell ref="B408:L408"/>
    <mergeCell ref="B403:L403"/>
    <mergeCell ref="B409:L409"/>
    <mergeCell ref="B405:L405"/>
    <mergeCell ref="B397:L397"/>
    <mergeCell ref="B412:L412"/>
    <mergeCell ref="B396:L396"/>
    <mergeCell ref="B410:L410"/>
    <mergeCell ref="B411:L411"/>
    <mergeCell ref="B398:L398"/>
    <mergeCell ref="B399:L399"/>
    <mergeCell ref="B401:L401"/>
    <mergeCell ref="B402:L402"/>
    <mergeCell ref="B407:L407"/>
    <mergeCell ref="B404:L404"/>
    <mergeCell ref="B400:L400"/>
    <mergeCell ref="B1:L1"/>
    <mergeCell ref="B391:L391"/>
    <mergeCell ref="L375:L387"/>
    <mergeCell ref="B406:L406"/>
    <mergeCell ref="B392:L392"/>
    <mergeCell ref="B388:L388"/>
    <mergeCell ref="B393:L393"/>
    <mergeCell ref="B394:L394"/>
    <mergeCell ref="L291:L300"/>
    <mergeCell ref="L321:L363"/>
    <mergeCell ref="L364:L374"/>
    <mergeCell ref="B389:L389"/>
    <mergeCell ref="B390:L390"/>
    <mergeCell ref="B395:L395"/>
    <mergeCell ref="B2:L2"/>
    <mergeCell ref="L301:L318"/>
  </mergeCells>
  <phoneticPr fontId="2"/>
  <printOptions horizontalCentered="1"/>
  <pageMargins left="0.59055118110236227" right="0.59055118110236227" top="0.78740157480314965" bottom="0.59055118110236227" header="0.51181102362204722" footer="0.31496062992125984"/>
  <pageSetup paperSize="9" scale="71" pageOrder="overThenDown" orientation="portrait" r:id="rId1"/>
  <headerFooter alignWithMargins="0">
    <oddFooter>&amp;C&amp;P</oddFooter>
  </headerFooter>
  <rowBreaks count="6" manualBreakCount="6">
    <brk id="63" min="1" max="11" man="1"/>
    <brk id="123" min="1" max="11" man="1"/>
    <brk id="183" min="1" max="11" man="1"/>
    <brk id="243" min="1" max="11" man="1"/>
    <brk id="300" min="1" max="11" man="1"/>
    <brk id="363" min="1" max="11"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謝金等支払明細書&lt;記入シート&gt;</vt:lpstr>
      <vt:lpstr>謝金等支払明細書&lt;作成注意&gt;</vt:lpstr>
      <vt:lpstr>令和８年分源泉徴収税額 月額表</vt:lpstr>
      <vt:lpstr>'謝金等支払明細書&lt;記入シート&gt;'!Print_Area</vt:lpstr>
      <vt:lpstr>'謝金等支払明細書&lt;作成注意&gt;'!Print_Area</vt:lpstr>
      <vt:lpstr>'令和８年分源泉徴収税額 月額表'!Print_Area</vt:lpstr>
      <vt:lpstr>'令和８年分源泉徴収税額 月額表'!Print_Titles</vt:lpstr>
    </vt:vector>
  </TitlesOfParts>
  <Company>湘南工科大学</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事務課</dc:creator>
  <cp:lastModifiedBy>山富龍</cp:lastModifiedBy>
  <cp:lastPrinted>2026-05-01T06:41:44Z</cp:lastPrinted>
  <dcterms:created xsi:type="dcterms:W3CDTF">2002-05-20T04:09:07Z</dcterms:created>
  <dcterms:modified xsi:type="dcterms:W3CDTF">2026-07-30T08:55:30Z</dcterms:modified>
</cp:coreProperties>
</file>